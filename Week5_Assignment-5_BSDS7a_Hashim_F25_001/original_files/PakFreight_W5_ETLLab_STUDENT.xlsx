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he Files" sheetId="2" state="visible" r:id="rId2"/>
    <sheet xmlns:r="http://schemas.openxmlformats.org/officeDocument/2006/relationships" name="T1 Defect Census" sheetId="3" state="visible" r:id="rId3"/>
    <sheet xmlns:r="http://schemas.openxmlformats.org/officeDocument/2006/relationships" name="T2 Stage Ownership" sheetId="4" state="visible" r:id="rId4"/>
    <sheet xmlns:r="http://schemas.openxmlformats.org/officeDocument/2006/relationships" name="T3 Seventeen Steps" sheetId="5" state="visible" r:id="rId5"/>
    <sheet xmlns:r="http://schemas.openxmlformats.org/officeDocument/2006/relationships" name="T4 Row Arithmetic" sheetId="6" state="visible" r:id="rId6"/>
    <sheet xmlns:r="http://schemas.openxmlformats.org/officeDocument/2006/relationships" name="T5 Locale Trap" sheetId="7" state="visible" r:id="rId7"/>
    <sheet xmlns:r="http://schemas.openxmlformats.org/officeDocument/2006/relationships" name="T6 Loud Or Quiet" sheetId="8" state="visible" r:id="rId8"/>
    <sheet xmlns:r="http://schemas.openxmlformats.org/officeDocument/2006/relationships" name="T7 Definition Of Done"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b val="1"/>
      <color rgb="00FFFFFF"/>
      <sz val="10"/>
    </font>
    <font>
      <name val="Calibri"/>
      <b val="1"/>
      <color rgb="0016202E"/>
      <sz val="10"/>
    </font>
    <font>
      <name val="Calibri"/>
      <color rgb="005B6573"/>
      <sz val="9"/>
    </font>
    <font>
      <name val="Calibri"/>
      <sz val="10"/>
    </font>
    <font>
      <name val="Calibri"/>
      <b val="1"/>
      <color rgb="0000704F"/>
      <sz val="10"/>
    </font>
    <font>
      <name val="Calibri"/>
      <i val="1"/>
      <color rgb="007A4E00"/>
      <sz val="9"/>
    </font>
    <font>
      <name val="Consolas"/>
      <sz val="9"/>
    </font>
    <font>
      <name val="Calibri"/>
      <b val="1"/>
      <color rgb="00922B21"/>
      <sz val="10"/>
    </font>
  </fonts>
  <fills count="11">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EDF1F5"/>
      </patternFill>
    </fill>
    <fill>
      <patternFill patternType="solid">
        <fgColor rgb="00FFF3CD"/>
      </patternFill>
    </fill>
    <fill>
      <patternFill patternType="solid">
        <fgColor rgb="00E8F6EF"/>
      </patternFill>
    </fill>
    <fill>
      <patternFill patternType="solid">
        <fgColor rgb="00FFF8DC"/>
      </patternFill>
    </fill>
  </fills>
  <borders count="6">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style="thin">
        <color rgb="00C9D4E3"/>
      </right>
      <top style="thin">
        <color rgb="00C9D4E3"/>
      </top>
      <bottom style="thin">
        <color rgb="00C9D4E3"/>
      </bottom>
      <diagonal/>
    </border>
    <border>
      <left/>
      <right/>
      <top style="thin">
        <color rgb="00C9D4E3"/>
      </top>
      <bottom style="thin">
        <color rgb="00C9D4E3"/>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6" borderId="1" applyAlignment="1" pivotButton="0" quotePrefix="0" xfId="0">
      <alignment horizontal="center" vertical="center" wrapText="1"/>
    </xf>
    <xf numFmtId="0" fontId="6" fillId="7" borderId="1" applyAlignment="1" pivotButton="0" quotePrefix="0" xfId="0">
      <alignment horizontal="center" vertical="center"/>
    </xf>
    <xf numFmtId="0" fontId="6" fillId="0" borderId="1" applyAlignment="1" pivotButton="0" quotePrefix="0" xfId="0">
      <alignment vertical="top" wrapText="1"/>
    </xf>
    <xf numFmtId="0" fontId="7" fillId="0" borderId="1" applyAlignment="1" pivotButton="0" quotePrefix="0" xfId="0">
      <alignment vertical="top" wrapText="1"/>
    </xf>
    <xf numFmtId="3" fontId="6" fillId="0" borderId="1" applyAlignment="1" pivotButton="0" quotePrefix="0" xfId="0">
      <alignment horizontal="center" vertical="center"/>
    </xf>
    <xf numFmtId="0" fontId="7" fillId="0" borderId="1" applyAlignment="1" pivotButton="0" quotePrefix="0" xfId="0">
      <alignment horizontal="center" vertical="center"/>
    </xf>
    <xf numFmtId="0" fontId="6" fillId="7" borderId="1" applyAlignment="1" pivotButton="0" quotePrefix="0" xfId="0">
      <alignment horizontal="right" vertical="center"/>
    </xf>
    <xf numFmtId="3" fontId="6" fillId="7" borderId="1" applyAlignment="1" pivotButton="0" quotePrefix="0" xfId="0">
      <alignment horizontal="center" vertical="center"/>
    </xf>
    <xf numFmtId="0" fontId="7" fillId="7" borderId="1" applyAlignment="1" pivotButton="0" quotePrefix="0" xfId="0">
      <alignment vertical="top" wrapText="1"/>
    </xf>
    <xf numFmtId="0" fontId="0" fillId="0" borderId="4" pivotButton="0" quotePrefix="0" xfId="0"/>
    <xf numFmtId="0" fontId="8" fillId="5" borderId="1" applyAlignment="1" pivotButton="0" quotePrefix="0" xfId="0">
      <alignment vertical="top" wrapText="1"/>
    </xf>
    <xf numFmtId="0" fontId="8" fillId="7" borderId="1" applyAlignment="1" pivotButton="0" quotePrefix="0" xfId="0">
      <alignment vertical="top" wrapText="1"/>
    </xf>
    <xf numFmtId="0" fontId="9" fillId="0" borderId="1" applyAlignment="1" pivotButton="0" quotePrefix="0" xfId="0">
      <alignment horizontal="center" vertical="center"/>
    </xf>
    <xf numFmtId="0" fontId="10" fillId="8" borderId="0" applyAlignment="1" pivotButton="0" quotePrefix="0" xfId="0">
      <alignment vertical="center" wrapText="1" indent="1"/>
    </xf>
    <xf numFmtId="0" fontId="6" fillId="0" borderId="1" applyAlignment="1" pivotButton="0" quotePrefix="0" xfId="0">
      <alignment horizontal="center" vertical="center"/>
    </xf>
    <xf numFmtId="0" fontId="11" fillId="7" borderId="1" applyAlignment="1" pivotButton="0" quotePrefix="0" xfId="0">
      <alignment vertical="top" wrapText="1"/>
    </xf>
    <xf numFmtId="3" fontId="9" fillId="0" borderId="1" applyAlignment="1" pivotButton="0" quotePrefix="0" xfId="0">
      <alignment horizontal="center" vertical="center"/>
    </xf>
    <xf numFmtId="3" fontId="8" fillId="0" borderId="1" applyAlignment="1" pivotButton="0" quotePrefix="0" xfId="0">
      <alignment horizontal="center" vertical="center"/>
    </xf>
    <xf numFmtId="0" fontId="9" fillId="9" borderId="1" applyAlignment="1" pivotButton="0" quotePrefix="0" xfId="0">
      <alignment vertical="top" wrapText="1"/>
    </xf>
    <xf numFmtId="0" fontId="0" fillId="9" borderId="1" pivotButton="0" quotePrefix="0" xfId="0"/>
    <xf numFmtId="0" fontId="0" fillId="7" borderId="1" pivotButton="0" quotePrefix="0" xfId="0"/>
    <xf numFmtId="0" fontId="11" fillId="8" borderId="1" applyAlignment="1" pivotButton="0" quotePrefix="0" xfId="0">
      <alignment vertical="top" wrapText="1"/>
    </xf>
    <xf numFmtId="0" fontId="8" fillId="0" borderId="1" applyAlignment="1" pivotButton="0" quotePrefix="0" xfId="0">
      <alignment vertical="top" wrapText="1"/>
    </xf>
    <xf numFmtId="0" fontId="0" fillId="0" borderId="1" pivotButton="0" quotePrefix="0" xfId="0"/>
    <xf numFmtId="0" fontId="8" fillId="10" borderId="1" applyAlignment="1" pivotButton="0" quotePrefix="0" xfId="0">
      <alignment horizontal="center" vertical="center"/>
    </xf>
    <xf numFmtId="0" fontId="7" fillId="10" borderId="1" applyAlignment="1" pivotButton="0" quotePrefix="0" xfId="0">
      <alignment vertical="top" wrapText="1"/>
    </xf>
    <xf numFmtId="0" fontId="8" fillId="7" borderId="1" applyAlignment="1" pivotButton="0" quotePrefix="0" xfId="0">
      <alignment horizontal="center" vertical="center"/>
    </xf>
    <xf numFmtId="0" fontId="6" fillId="7" borderId="1" applyAlignment="1" pivotButton="0" quotePrefix="0" xfId="0">
      <alignment vertical="top" wrapText="1"/>
    </xf>
    <xf numFmtId="0" fontId="8" fillId="10" borderId="1" applyAlignment="1" pivotButton="0" quotePrefix="0" xfId="0">
      <alignment vertical="top" wrapText="1"/>
    </xf>
    <xf numFmtId="0" fontId="0" fillId="10" borderId="1" pivotButton="0" quotePrefix="0" xfId="0"/>
    <xf numFmtId="3" fontId="8" fillId="10" borderId="1" applyAlignment="1" pivotButton="0" quotePrefix="0" xfId="0">
      <alignment horizontal="center" vertical="center"/>
    </xf>
    <xf numFmtId="0" fontId="6" fillId="0" borderId="1" applyAlignment="1" pivotButton="0" quotePrefix="0" xfId="0">
      <alignment horizontal="right" vertical="center"/>
    </xf>
    <xf numFmtId="0" fontId="11" fillId="10" borderId="1" applyAlignment="1" pivotButton="0" quotePrefix="0" xfId="0">
      <alignment vertical="top" wrapText="1"/>
    </xf>
    <xf numFmtId="0" fontId="12" fillId="8" borderId="1" applyAlignment="1" pivotButton="0" quotePrefix="0" xfId="0">
      <alignment vertical="top" wrapText="1"/>
    </xf>
    <xf numFmtId="0" fontId="11" fillId="7" borderId="1" applyAlignment="1" pivotButton="0" quotePrefix="0" xfId="0">
      <alignment horizontal="center" vertical="center"/>
    </xf>
    <xf numFmtId="3" fontId="11" fillId="7" borderId="1" applyAlignment="1" pivotButton="0" quotePrefix="0" xfId="0">
      <alignment horizontal="center" vertical="center"/>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6" customWidth="1" min="1" max="1"/>
    <col width="34" customWidth="1" min="2" max="2"/>
    <col width="52" customWidth="1" min="3" max="3"/>
    <col width="10" customWidth="1" min="4" max="4"/>
    <col width="11" customWidth="1" min="5" max="5"/>
    <col width="30" customWidth="1" min="6" max="6"/>
  </cols>
  <sheetData>
    <row r="1" ht="30" customHeight="1">
      <c r="A1" s="1" t="inlineStr">
        <is>
          <t>PakFreight ETL Lab — Week 5 Activity</t>
        </is>
      </c>
    </row>
    <row r="2" ht="30" customHeight="1">
      <c r="A2" s="2" t="inlineStr">
        <is>
          <t>Data Warehousing &amp; Business Intelligence · Week 5 — The ETL Process · CLO3 · The Superior University, Lahore</t>
        </is>
      </c>
    </row>
    <row r="4" ht="22" customHeight="1">
      <c r="A4" s="3" t="inlineStr">
        <is>
          <t>THE SITUATION</t>
        </is>
      </c>
    </row>
    <row r="5" ht="96" customHeight="1">
      <c r="A5" s="4" t="inlineStr">
        <is>
          <t>Week 2 opened three files, fixed them by hand, and pasted the result into one sheet. That produced a correct table and zero reusable work. Week 4 wired an empty star and left it waiting. Tonight's file arrives at 02:00 and nobody is awake to paste it.
This week you build the machine that loads the star. The deliverable is not the table — Week 2 already produced the table. It is the seventeen steps, in order, with their names on them, and the test of it is that tomorrow it runs without you.</t>
        </is>
      </c>
    </row>
    <row r="7" ht="22" customHeight="1">
      <c r="A7" s="3" t="inlineStr">
        <is>
          <t>THE SEVEN TASKS</t>
        </is>
      </c>
    </row>
    <row r="8" ht="32" customHeight="1">
      <c r="A8" s="5" t="inlineStr">
        <is>
          <t>#</t>
        </is>
      </c>
      <c r="B8" s="5" t="inlineStr">
        <is>
          <t>Task</t>
        </is>
      </c>
      <c r="C8" s="5" t="inlineStr">
        <is>
          <t>What you produce</t>
        </is>
      </c>
      <c r="D8" s="5" t="inlineStr">
        <is>
          <t>Marks</t>
        </is>
      </c>
      <c r="E8" s="5" t="inlineStr">
        <is>
          <t>When</t>
        </is>
      </c>
      <c r="F8" s="5" t="inlineStr">
        <is>
          <t>From the lecture</t>
        </is>
      </c>
    </row>
    <row r="9" ht="30" customHeight="1">
      <c r="A9" s="6" t="inlineStr">
        <is>
          <t>T1</t>
        </is>
      </c>
      <c r="B9" s="7" t="inlineStr">
        <is>
          <t>Defect census</t>
        </is>
      </c>
      <c r="C9" s="8" t="inlineStr">
        <is>
          <t>Ten defects, each tied to the step that clears it and to loud or quiet</t>
        </is>
      </c>
      <c r="D9" s="9" t="n">
        <v>12</v>
      </c>
      <c r="E9" s="10" t="inlineStr">
        <is>
          <t>class</t>
        </is>
      </c>
      <c r="F9" s="8" t="inlineStr">
        <is>
          <t>slides 8–9, 15</t>
        </is>
      </c>
    </row>
    <row r="10" ht="30" customHeight="1">
      <c r="A10" s="6" t="inlineStr">
        <is>
          <t>T2</t>
        </is>
      </c>
      <c r="B10" s="7" t="inlineStr">
        <is>
          <t>Stage ownership</t>
        </is>
      </c>
      <c r="C10" s="8" t="inlineStr">
        <is>
          <t>Twelve activities sorted into Extract, Transform, Load — or Violation</t>
        </is>
      </c>
      <c r="D10" s="9" t="n">
        <v>12</v>
      </c>
      <c r="E10" s="10" t="inlineStr">
        <is>
          <t>class</t>
        </is>
      </c>
      <c r="F10" s="8" t="inlineStr">
        <is>
          <t>slides 13–16, 18</t>
        </is>
      </c>
    </row>
    <row r="11" ht="30" customHeight="1">
      <c r="A11" s="6" t="inlineStr">
        <is>
          <t>T3</t>
        </is>
      </c>
      <c r="B11" s="7" t="inlineStr">
        <is>
          <t>Order the seventeen steps</t>
        </is>
      </c>
      <c r="C11" s="8" t="inlineStr">
        <is>
          <t>The run order, per-source or once, and the three constraints defended</t>
        </is>
      </c>
      <c r="D11" s="9" t="n">
        <v>20</v>
      </c>
      <c r="E11" s="10" t="inlineStr">
        <is>
          <t>class</t>
        </is>
      </c>
      <c r="F11" s="8" t="inlineStr">
        <is>
          <t>slides 15, 17</t>
        </is>
      </c>
    </row>
    <row r="12" ht="30" customHeight="1">
      <c r="A12" s="6" t="inlineStr">
        <is>
          <t>T4</t>
        </is>
      </c>
      <c r="B12" s="7" t="inlineStr">
        <is>
          <t>Row arithmetic</t>
        </is>
      </c>
      <c r="C12" s="8" t="inlineStr">
        <is>
          <t>37 → 35 → 34, and every wrong total on slide 42 explained by its gap</t>
        </is>
      </c>
      <c r="D12" s="9" t="n">
        <v>15</v>
      </c>
      <c r="E12" s="10" t="inlineStr">
        <is>
          <t>class</t>
        </is>
      </c>
      <c r="F12" s="8" t="inlineStr">
        <is>
          <t>slides 29, 42</t>
        </is>
      </c>
    </row>
    <row r="13" ht="30" customHeight="1">
      <c r="A13" s="6" t="inlineStr">
        <is>
          <t>T5</t>
        </is>
      </c>
      <c r="B13" s="7" t="inlineStr">
        <is>
          <t>The locale trap</t>
        </is>
      </c>
      <c r="C13" s="8" t="inlineStr">
        <is>
          <t>Twelve date strings read two ways, and why reconciliation misses it</t>
        </is>
      </c>
      <c r="D13" s="9" t="n">
        <v>12</v>
      </c>
      <c r="E13" s="10" t="inlineStr">
        <is>
          <t>homework</t>
        </is>
      </c>
      <c r="F13" s="8" t="inlineStr">
        <is>
          <t>slides 28, 32</t>
        </is>
      </c>
    </row>
    <row r="14" ht="30" customHeight="1">
      <c r="A14" s="6" t="inlineStr">
        <is>
          <t>T6</t>
        </is>
      </c>
      <c r="B14" s="7" t="inlineStr">
        <is>
          <t>Loud or quiet</t>
        </is>
      </c>
      <c r="C14" s="8" t="inlineStr">
        <is>
          <t>Six failures classified, and the check that converts each one</t>
        </is>
      </c>
      <c r="D14" s="9" t="n">
        <v>12</v>
      </c>
      <c r="E14" s="10" t="inlineStr">
        <is>
          <t>homework</t>
        </is>
      </c>
      <c r="F14" s="8" t="inlineStr">
        <is>
          <t>slides 20, 41</t>
        </is>
      </c>
    </row>
    <row r="15" ht="30" customHeight="1">
      <c r="A15" s="6" t="inlineStr">
        <is>
          <t>T7</t>
        </is>
      </c>
      <c r="B15" s="7" t="inlineStr">
        <is>
          <t>Definition of done</t>
        </is>
      </c>
      <c r="C15" s="8" t="inlineStr">
        <is>
          <t>Eight checks. All eight must read “pass”, and the −1 count written down</t>
        </is>
      </c>
      <c r="D15" s="9" t="n">
        <v>12</v>
      </c>
      <c r="E15" s="10" t="inlineStr">
        <is>
          <t>homework</t>
        </is>
      </c>
      <c r="F15" s="8" t="inlineStr">
        <is>
          <t>slides 41, 43</t>
        </is>
      </c>
    </row>
    <row r="16">
      <c r="C16" s="11" t="inlineStr">
        <is>
          <t>TOTAL</t>
        </is>
      </c>
      <c r="D16" s="12" t="n">
        <v>95</v>
      </c>
      <c r="E16" s="13" t="inlineStr">
        <is>
          <t>+ 12 in the quick check</t>
        </is>
      </c>
      <c r="F16" s="14" t="n"/>
    </row>
    <row r="18" ht="22" customHeight="1">
      <c r="A18" s="3" t="inlineStr">
        <is>
          <t>HOW TO WORK</t>
        </is>
      </c>
    </row>
    <row r="19" ht="42" customHeight="1">
      <c r="B19" s="15" t="inlineStr">
        <is>
          <t>Teams of three. Name one person each: the Extractor owns T1 and T2 and may not fix anything while reading; the Sequencer owns T3 and has to defend the order to the room; the Reconciler owns T4 and T7 and has veto power over “it looks fine”.</t>
        </is>
      </c>
    </row>
    <row r="20" ht="42" customHeight="1">
      <c r="B20" s="15" t="inlineStr">
        <is>
          <t>Do T1 before T3. You cannot order a pipeline against a mess you have not counted. The workbook is ordered this way deliberately, and slide 11 says the same thing: fifty-five minutes before anybody opens a tool.</t>
        </is>
      </c>
    </row>
    <row r="21" ht="42" customHeight="1">
      <c r="B21" s="15" t="inlineStr">
        <is>
          <t>Type only in cream cells. Grey cells are given to you — the defect list, the step list, the raw date strings. If you are editing a grey cell you have misread the task.</t>
        </is>
      </c>
    </row>
    <row r="22" ht="42" customHeight="1">
      <c r="B22" s="15" t="inlineStr">
        <is>
          <t>T7 marks itself. Every “✘ fix” means something earlier is still wrong. Go and find it; do not adjust the check.</t>
        </is>
      </c>
    </row>
    <row r="23" ht="42" customHeight="1">
      <c r="B23" s="15" t="inlineStr">
        <is>
          <t>Every number in this workbook came out of the three files in data/source. So can yours — open them and count. Nothing here has to be taken on trust.</t>
        </is>
      </c>
    </row>
    <row r="25" ht="22" customHeight="1">
      <c r="A25" s="3" t="inlineStr">
        <is>
          <t>THE TWO NUMBERS THAT CANNOT MOVE</t>
        </is>
      </c>
    </row>
    <row r="26">
      <c r="B26" s="16" t="inlineStr">
        <is>
          <t>SUM(WeightKG) after the load</t>
        </is>
      </c>
      <c r="C26" s="17" t="inlineStr">
        <is>
          <t>578,650 kg</t>
        </is>
      </c>
      <c r="D26" s="16" t="inlineStr">
        <is>
          <t>SUM(FreightCostPKR)</t>
        </is>
      </c>
      <c r="E26" s="17" t="inlineStr">
        <is>
          <t>PKR 4,808,000</t>
        </is>
      </c>
    </row>
    <row r="27" ht="42" customHeight="1">
      <c r="A27" s="18" t="inlineStr">
        <is>
          <t>The same two as Week 3 and Week 4. They were verified against the three source files before any of this was written, and a pipeline that changes them has invented data. They are also the weakest checks you have — a locale bug and a status casing bug both pass them perfectly, which is what T5, T6 and T7 are about.</t>
        </is>
      </c>
    </row>
  </sheetData>
  <mergeCells count="15">
    <mergeCell ref="B21:F21"/>
    <mergeCell ref="A2:F2"/>
    <mergeCell ref="E16:F16"/>
    <mergeCell ref="B20:F20"/>
    <mergeCell ref="A1:F1"/>
    <mergeCell ref="A5:F5"/>
    <mergeCell ref="B19:F19"/>
    <mergeCell ref="A27:F27"/>
    <mergeCell ref="B23:F23"/>
    <mergeCell ref="A18:F18"/>
    <mergeCell ref="A4:F4"/>
    <mergeCell ref="B22:F22"/>
    <mergeCell ref="E26:F2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showGridLines="0" workbookViewId="0">
      <selection activeCell="A1" sqref="A1"/>
    </sheetView>
  </sheetViews>
  <sheetFormatPr baseColWidth="8" defaultRowHeight="15"/>
  <cols>
    <col width="5" customWidth="1" min="1" max="1"/>
    <col width="26" customWidth="1" min="2" max="2"/>
    <col width="15" customWidth="1" min="3" max="3"/>
    <col width="30" customWidth="1" min="4" max="4"/>
    <col width="11" customWidth="1" min="5" max="5"/>
    <col width="11" customWidth="1" min="6" max="6"/>
    <col width="40" customWidth="1" min="7" max="7"/>
  </cols>
  <sheetData>
    <row r="1" ht="30" customHeight="1">
      <c r="A1" s="1" t="inlineStr">
        <is>
          <t>The Three Files, As They Arrive — given, do not edit</t>
        </is>
      </c>
    </row>
    <row r="2" ht="30" customHeight="1">
      <c r="A2" s="2" t="inlineStr">
        <is>
          <t>Everything on this sheet was read straight out of data/source. The counts include the junk, because the row count in the extract log has to match the file.</t>
        </is>
      </c>
    </row>
    <row r="4" ht="22" customHeight="1">
      <c r="A4" s="3" t="inlineStr">
        <is>
          <t>E3 · THE EXTRACT LOG</t>
        </is>
      </c>
    </row>
    <row r="5" ht="32" customHeight="1">
      <c r="A5" s="5" t="inlineStr">
        <is>
          <t>#</t>
        </is>
      </c>
      <c r="B5" s="5" t="inlineStr">
        <is>
          <t>File</t>
        </is>
      </c>
      <c r="C5" s="5" t="inlineStr">
        <is>
          <t>Format</t>
        </is>
      </c>
      <c r="D5" s="5" t="inlineStr">
        <is>
          <t>Extract method</t>
        </is>
      </c>
      <c r="E5" s="5" t="inlineStr">
        <is>
          <t>Rows landed</t>
        </is>
      </c>
      <c r="F5" s="5" t="inlineStr">
        <is>
          <t>Real rows</t>
        </is>
      </c>
      <c r="G5" s="5" t="inlineStr">
        <is>
          <t>What will go wrong first</t>
        </is>
      </c>
    </row>
    <row r="6" ht="30" customHeight="1">
      <c r="A6" s="19" t="n">
        <v>1</v>
      </c>
      <c r="B6" s="20" t="inlineStr">
        <is>
          <t>marine_shipments.csv</t>
        </is>
      </c>
      <c r="C6" s="13" t="inlineStr">
        <is>
          <t>CSV, text dates</t>
        </is>
      </c>
      <c r="D6" s="13" t="inlineStr">
        <is>
          <t>full file read</t>
        </is>
      </c>
      <c r="E6" s="21" t="n">
        <v>12</v>
      </c>
      <c r="F6" s="22" t="n">
        <v>12</v>
      </c>
      <c r="G6" s="8" t="inlineStr">
        <is>
          <t>the ambiguous dd/MM/yyyy date — and it does not announce itself</t>
        </is>
      </c>
    </row>
    <row r="7" ht="30" customHeight="1">
      <c r="A7" s="19" t="n">
        <v>2</v>
      </c>
      <c r="B7" s="20" t="inlineStr">
        <is>
          <t>rail_shipments.xlsx</t>
        </is>
      </c>
      <c r="C7" s="13" t="inlineStr">
        <is>
          <t>Excel, TONS</t>
        </is>
      </c>
      <c r="D7" s="13" t="inlineStr">
        <is>
          <t>named sheet, skip 2 rows</t>
        </is>
      </c>
      <c r="E7" s="21" t="n">
        <v>10</v>
      </c>
      <c r="F7" s="22" t="n">
        <v>10</v>
      </c>
      <c r="G7" s="8" t="inlineStr">
        <is>
          <t>someone inserts a third title row and every header shifts</t>
        </is>
      </c>
    </row>
    <row r="8" ht="30" customHeight="1">
      <c r="A8" s="19" t="n">
        <v>3</v>
      </c>
      <c r="B8" s="20" t="inlineStr">
        <is>
          <t>road_shipments.csv</t>
        </is>
      </c>
      <c r="C8" s="13" t="inlineStr">
        <is>
          <t>CSV, lower headers</t>
        </is>
      </c>
      <c r="D8" s="13" t="inlineStr">
        <is>
          <t>full file read</t>
        </is>
      </c>
      <c r="E8" s="21" t="n">
        <v>15</v>
      </c>
      <c r="F8" s="22" t="n">
        <v>13</v>
      </c>
      <c r="G8" s="8" t="inlineStr">
        <is>
          <t>a blank line, a TOTAL footer that is not a shipment, and rd-505 twice</t>
        </is>
      </c>
    </row>
    <row r="9">
      <c r="D9" s="11" t="inlineStr">
        <is>
          <t>TOTAL LANDED</t>
        </is>
      </c>
      <c r="E9" s="12" t="n">
        <v>37</v>
      </c>
      <c r="F9" s="12" t="n">
        <v>35</v>
      </c>
    </row>
    <row r="10" ht="34" customHeight="1">
      <c r="A10" s="18" t="inlineStr">
        <is>
          <t>Thirty-seven rows arrive and thirty-seven rows land, including the blank one and the TOTAL line. Extract does not correct anything — if it did, you would have no untouched copy to prove the source against, and no way to tell a source problem from your own.</t>
        </is>
      </c>
    </row>
    <row r="12" ht="22" customHeight="1">
      <c r="A12" s="3" t="inlineStr">
        <is>
          <t>THE SEVEN-NAME CONTRACT — slide 24, agreed before anyone touches a file</t>
        </is>
      </c>
    </row>
    <row r="13" ht="32" customHeight="1">
      <c r="A13" s="5" t="inlineStr">
        <is>
          <t>#</t>
        </is>
      </c>
      <c r="B13" s="5" t="inlineStr">
        <is>
          <t>The common contract</t>
        </is>
      </c>
      <c r="C13" s="5" t="inlineStr"/>
      <c r="D13" s="5" t="inlineStr">
        <is>
          <t>marine_shipments.csv</t>
        </is>
      </c>
      <c r="E13" s="5" t="inlineStr">
        <is>
          <t>road_shipments.csv</t>
        </is>
      </c>
      <c r="F13" s="5" t="inlineStr"/>
      <c r="G13" s="5" t="inlineStr">
        <is>
          <t>rail_shipments.xlsx</t>
        </is>
      </c>
    </row>
    <row r="14" ht="20" customHeight="1">
      <c r="A14" s="19" t="n">
        <v>1</v>
      </c>
      <c r="B14" s="23" t="inlineStr">
        <is>
          <t>ShipmentID</t>
        </is>
      </c>
      <c r="C14" s="24" t="n"/>
      <c r="D14" s="20" t="inlineStr">
        <is>
          <t>Shipment_ID</t>
        </is>
      </c>
      <c r="E14" s="20" t="inlineStr">
        <is>
          <t>trip_id</t>
        </is>
      </c>
      <c r="F14" s="25" t="n"/>
      <c r="G14" s="20" t="inlineStr">
        <is>
          <t>Consignment No</t>
        </is>
      </c>
    </row>
    <row r="15" ht="20" customHeight="1">
      <c r="A15" s="19" t="n">
        <v>2</v>
      </c>
      <c r="B15" s="23" t="inlineStr">
        <is>
          <t>ShipDate</t>
        </is>
      </c>
      <c r="C15" s="24" t="n"/>
      <c r="D15" s="20" t="inlineStr">
        <is>
          <t>Ship_Date</t>
        </is>
      </c>
      <c r="E15" s="20" t="inlineStr">
        <is>
          <t>trip_date</t>
        </is>
      </c>
      <c r="F15" s="25" t="n"/>
      <c r="G15" s="20" t="inlineStr">
        <is>
          <t>Dispatch Date</t>
        </is>
      </c>
    </row>
    <row r="16" ht="20" customHeight="1">
      <c r="A16" s="19" t="n">
        <v>3</v>
      </c>
      <c r="B16" s="23" t="inlineStr">
        <is>
          <t>OriginRaw</t>
        </is>
      </c>
      <c r="C16" s="24" t="n"/>
      <c r="D16" s="20" t="inlineStr">
        <is>
          <t>Origin_Port</t>
        </is>
      </c>
      <c r="E16" s="20" t="inlineStr">
        <is>
          <t>from_city</t>
        </is>
      </c>
      <c r="F16" s="25" t="n"/>
      <c r="G16" s="20" t="inlineStr">
        <is>
          <t>From Station</t>
        </is>
      </c>
    </row>
    <row r="17" ht="20" customHeight="1">
      <c r="A17" s="19" t="n">
        <v>4</v>
      </c>
      <c r="B17" s="23" t="inlineStr">
        <is>
          <t>DestRaw</t>
        </is>
      </c>
      <c r="C17" s="24" t="n"/>
      <c r="D17" s="20" t="inlineStr">
        <is>
          <t>Dest_Port</t>
        </is>
      </c>
      <c r="E17" s="20" t="inlineStr">
        <is>
          <t>to_city</t>
        </is>
      </c>
      <c r="F17" s="25" t="n"/>
      <c r="G17" s="20" t="inlineStr">
        <is>
          <t>To Station</t>
        </is>
      </c>
    </row>
    <row r="18" ht="20" customHeight="1">
      <c r="A18" s="19" t="n">
        <v>5</v>
      </c>
      <c r="B18" s="23" t="inlineStr">
        <is>
          <t>WeightKG</t>
        </is>
      </c>
      <c r="C18" s="24" t="n"/>
      <c r="D18" s="20" t="inlineStr">
        <is>
          <t>Weight_KG</t>
        </is>
      </c>
      <c r="E18" s="20" t="inlineStr">
        <is>
          <t>weight_kg</t>
        </is>
      </c>
      <c r="F18" s="25" t="n"/>
      <c r="G18" s="26" t="inlineStr">
        <is>
          <t>Weight (Tons)   ← NOT kg</t>
        </is>
      </c>
    </row>
    <row r="19" ht="20" customHeight="1">
      <c r="A19" s="19" t="n">
        <v>6</v>
      </c>
      <c r="B19" s="23" t="inlineStr">
        <is>
          <t>FreightCostPKR</t>
        </is>
      </c>
      <c r="C19" s="24" t="n"/>
      <c r="D19" s="20" t="inlineStr">
        <is>
          <t>Cost_PKR</t>
        </is>
      </c>
      <c r="E19" s="20" t="inlineStr">
        <is>
          <t>cost_pkr</t>
        </is>
      </c>
      <c r="F19" s="25" t="n"/>
      <c r="G19" s="20" t="inlineStr">
        <is>
          <t>Freight Charges (PKR)</t>
        </is>
      </c>
    </row>
    <row r="20" ht="20" customHeight="1">
      <c r="A20" s="19" t="n">
        <v>7</v>
      </c>
      <c r="B20" s="23" t="inlineStr">
        <is>
          <t>StatusRaw</t>
        </is>
      </c>
      <c r="C20" s="24" t="n"/>
      <c r="D20" s="20" t="inlineStr">
        <is>
          <t>Status</t>
        </is>
      </c>
      <c r="E20" s="20" t="inlineStr">
        <is>
          <t>status</t>
        </is>
      </c>
      <c r="F20" s="25" t="n"/>
      <c r="G20" s="20" t="inlineStr">
        <is>
          <t>Status</t>
        </is>
      </c>
    </row>
    <row r="21" ht="42" customHeight="1">
      <c r="A21" s="18" t="inlineStr">
        <is>
          <t>Unique column names across the three files: 20 — seven each, and only “Status” shared, by marine and rail. Append before renaming and that is exactly the table you get: twenty columns, two thirds of every one of them empty, and no error raised. The amber row is the second warning: the same contract name does not mean the same unit.</t>
        </is>
      </c>
    </row>
    <row r="23" ht="22" customHeight="1">
      <c r="A23" s="3" t="inlineStr">
        <is>
          <t>THE STATUS COLUMN, EXACTLY AS IT ARRIVES — 17 strings meaning 3 things</t>
        </is>
      </c>
    </row>
    <row r="24">
      <c r="B24" s="20" t="inlineStr">
        <is>
          <t>' DELIVERED'   ' Delivered'   ' in transit'</t>
        </is>
      </c>
      <c r="C24" s="25" t="n"/>
      <c r="D24" s="25" t="n"/>
      <c r="E24" s="25" t="n"/>
      <c r="F24" s="25" t="n"/>
      <c r="G24" s="25" t="n"/>
    </row>
    <row r="25">
      <c r="B25" s="20" t="inlineStr">
        <is>
          <t>'DELAYED'   'DELIVERED'   'DELIVERED '</t>
        </is>
      </c>
      <c r="C25" s="25" t="n"/>
      <c r="D25" s="25" t="n"/>
      <c r="E25" s="25" t="n"/>
      <c r="F25" s="25" t="n"/>
      <c r="G25" s="25" t="n"/>
    </row>
    <row r="26">
      <c r="B26" s="20" t="inlineStr">
        <is>
          <t>'Delivered'   'Delivered '   'IN TRANSIT'</t>
        </is>
      </c>
      <c r="C26" s="25" t="n"/>
      <c r="D26" s="25" t="n"/>
      <c r="E26" s="25" t="n"/>
      <c r="F26" s="25" t="n"/>
      <c r="G26" s="25" t="n"/>
    </row>
    <row r="27">
      <c r="B27" s="20" t="inlineStr">
        <is>
          <t>'IN TRANSIT '   'In transit'   'delayed'</t>
        </is>
      </c>
      <c r="C27" s="25" t="n"/>
      <c r="D27" s="25" t="n"/>
      <c r="E27" s="25" t="n"/>
      <c r="F27" s="25" t="n"/>
      <c r="G27" s="25" t="n"/>
    </row>
    <row r="28">
      <c r="B28" s="20" t="inlineStr">
        <is>
          <t>'delivered'   'delivered '   'in Transit'</t>
        </is>
      </c>
      <c r="C28" s="25" t="n"/>
      <c r="D28" s="25" t="n"/>
      <c r="E28" s="25" t="n"/>
      <c r="F28" s="25" t="n"/>
      <c r="G28" s="25" t="n"/>
    </row>
    <row r="29">
      <c r="B29" s="20" t="inlineStr">
        <is>
          <t>'in transit'   'in transit '</t>
        </is>
      </c>
      <c r="C29" s="25" t="n"/>
      <c r="D29" s="25" t="n"/>
      <c r="E29" s="25" t="n"/>
      <c r="F29" s="25" t="n"/>
      <c r="G29" s="25" t="n"/>
    </row>
    <row r="30" ht="30" customHeight="1">
      <c r="A30" s="18" t="inlineStr">
        <is>
          <t>17 distinct strings. 8 of them differ from another one only by a space, which is why Trim comes before everything that compares values. After Trim, Clean and Capitalize Each Word there are three.</t>
        </is>
      </c>
    </row>
    <row r="32" ht="22" customHeight="1">
      <c r="A32" s="3" t="inlineStr">
        <is>
          <t>THE 23 SPELLINGS, AND THE 14 CITIES THEY MEAN — DimCity's RawAliases, split into rows</t>
        </is>
      </c>
    </row>
    <row r="33" ht="32" customHeight="1">
      <c r="A33" s="5" t="inlineStr">
        <is>
          <t>#</t>
        </is>
      </c>
      <c r="B33" s="5" t="inlineStr">
        <is>
          <t>Raw spelling, as it appears in a source file</t>
        </is>
      </c>
      <c r="C33" s="5" t="inlineStr"/>
      <c r="D33" s="5" t="inlineStr">
        <is>
          <t>CityKey</t>
        </is>
      </c>
      <c r="E33" s="5" t="inlineStr">
        <is>
          <t>Conformed CityName</t>
        </is>
      </c>
      <c r="F33" s="5" t="inlineStr"/>
      <c r="G33" s="5" t="inlineStr"/>
    </row>
    <row r="34" ht="16" customHeight="1">
      <c r="A34" s="10" t="n">
        <v>1</v>
      </c>
      <c r="B34" s="20" t="inlineStr">
        <is>
          <t>Karachi</t>
        </is>
      </c>
      <c r="C34" s="25" t="n"/>
      <c r="D34" s="17" t="n">
        <v>1</v>
      </c>
      <c r="E34" s="27" t="inlineStr">
        <is>
          <t>Karachi</t>
        </is>
      </c>
      <c r="F34" s="28" t="n"/>
      <c r="G34" s="28" t="n"/>
    </row>
    <row r="35" ht="16" customHeight="1">
      <c r="A35" s="10" t="n">
        <v>2</v>
      </c>
      <c r="B35" s="20" t="inlineStr">
        <is>
          <t>Karachi Cantt</t>
        </is>
      </c>
      <c r="C35" s="25" t="n"/>
      <c r="D35" s="17" t="n">
        <v>1</v>
      </c>
      <c r="E35" s="27" t="inlineStr">
        <is>
          <t>Karachi</t>
        </is>
      </c>
      <c r="F35" s="28" t="n"/>
      <c r="G35" s="28" t="n"/>
    </row>
    <row r="36" ht="16" customHeight="1">
      <c r="A36" s="10" t="n">
        <v>3</v>
      </c>
      <c r="B36" s="20" t="inlineStr">
        <is>
          <t>Karachi Port</t>
        </is>
      </c>
      <c r="C36" s="25" t="n"/>
      <c r="D36" s="17" t="n">
        <v>1</v>
      </c>
      <c r="E36" s="27" t="inlineStr">
        <is>
          <t>Karachi</t>
        </is>
      </c>
      <c r="F36" s="28" t="n"/>
      <c r="G36" s="28" t="n"/>
    </row>
    <row r="37" ht="16" customHeight="1">
      <c r="A37" s="10" t="n">
        <v>4</v>
      </c>
      <c r="B37" s="20" t="inlineStr">
        <is>
          <t>Pipri Marshalling Yard</t>
        </is>
      </c>
      <c r="C37" s="25" t="n"/>
      <c r="D37" s="17" t="n">
        <v>1</v>
      </c>
      <c r="E37" s="27" t="inlineStr">
        <is>
          <t>Karachi</t>
        </is>
      </c>
      <c r="F37" s="28" t="n"/>
      <c r="G37" s="28" t="n"/>
    </row>
    <row r="38" ht="16" customHeight="1">
      <c r="A38" s="10" t="n">
        <v>5</v>
      </c>
      <c r="B38" s="20" t="inlineStr">
        <is>
          <t>Port Qasim</t>
        </is>
      </c>
      <c r="C38" s="25" t="n"/>
      <c r="D38" s="17" t="n">
        <v>1</v>
      </c>
      <c r="E38" s="27" t="inlineStr">
        <is>
          <t>Karachi</t>
        </is>
      </c>
      <c r="F38" s="28" t="n"/>
      <c r="G38" s="28" t="n"/>
    </row>
    <row r="39" ht="16" customHeight="1">
      <c r="A39" s="10" t="n">
        <v>6</v>
      </c>
      <c r="B39" s="20" t="inlineStr">
        <is>
          <t>Gwadar Port</t>
        </is>
      </c>
      <c r="C39" s="25" t="n"/>
      <c r="D39" s="17" t="n">
        <v>2</v>
      </c>
      <c r="E39" s="27" t="inlineStr">
        <is>
          <t>Gwadar</t>
        </is>
      </c>
      <c r="F39" s="28" t="n"/>
      <c r="G39" s="28" t="n"/>
    </row>
    <row r="40" ht="16" customHeight="1">
      <c r="A40" s="10" t="n">
        <v>7</v>
      </c>
      <c r="B40" s="20" t="inlineStr">
        <is>
          <t>Lahore</t>
        </is>
      </c>
      <c r="C40" s="25" t="n"/>
      <c r="D40" s="17" t="n">
        <v>3</v>
      </c>
      <c r="E40" s="27" t="inlineStr">
        <is>
          <t>Lahore</t>
        </is>
      </c>
      <c r="F40" s="28" t="n"/>
      <c r="G40" s="28" t="n"/>
    </row>
    <row r="41" ht="16" customHeight="1">
      <c r="A41" s="10" t="n">
        <v>8</v>
      </c>
      <c r="B41" s="20" t="inlineStr">
        <is>
          <t>Lahore Dry Port</t>
        </is>
      </c>
      <c r="C41" s="25" t="n"/>
      <c r="D41" s="17" t="n">
        <v>3</v>
      </c>
      <c r="E41" s="27" t="inlineStr">
        <is>
          <t>Lahore</t>
        </is>
      </c>
      <c r="F41" s="28" t="n"/>
      <c r="G41" s="28" t="n"/>
    </row>
    <row r="42" ht="16" customHeight="1">
      <c r="A42" s="10" t="n">
        <v>9</v>
      </c>
      <c r="B42" s="20" t="inlineStr">
        <is>
          <t>Multan</t>
        </is>
      </c>
      <c r="C42" s="25" t="n"/>
      <c r="D42" s="17" t="n">
        <v>4</v>
      </c>
      <c r="E42" s="27" t="inlineStr">
        <is>
          <t>Multan</t>
        </is>
      </c>
      <c r="F42" s="28" t="n"/>
      <c r="G42" s="28" t="n"/>
    </row>
    <row r="43" ht="16" customHeight="1">
      <c r="A43" s="10" t="n">
        <v>10</v>
      </c>
      <c r="B43" s="20" t="inlineStr">
        <is>
          <t>Islamabad</t>
        </is>
      </c>
      <c r="C43" s="25" t="n"/>
      <c r="D43" s="17" t="n">
        <v>5</v>
      </c>
      <c r="E43" s="27" t="inlineStr">
        <is>
          <t>Islamabad</t>
        </is>
      </c>
      <c r="F43" s="28" t="n"/>
      <c r="G43" s="28" t="n"/>
    </row>
    <row r="44" ht="16" customHeight="1">
      <c r="A44" s="10" t="n">
        <v>11</v>
      </c>
      <c r="B44" s="20" t="inlineStr">
        <is>
          <t>Islamabad Dry Port</t>
        </is>
      </c>
      <c r="C44" s="25" t="n"/>
      <c r="D44" s="17" t="n">
        <v>5</v>
      </c>
      <c r="E44" s="27" t="inlineStr">
        <is>
          <t>Islamabad</t>
        </is>
      </c>
      <c r="F44" s="28" t="n"/>
      <c r="G44" s="28" t="n"/>
    </row>
    <row r="45" ht="16" customHeight="1">
      <c r="A45" s="10" t="n">
        <v>12</v>
      </c>
      <c r="B45" s="20" t="inlineStr">
        <is>
          <t>Quetta</t>
        </is>
      </c>
      <c r="C45" s="25" t="n"/>
      <c r="D45" s="17" t="n">
        <v>6</v>
      </c>
      <c r="E45" s="27" t="inlineStr">
        <is>
          <t>Quetta</t>
        </is>
      </c>
      <c r="F45" s="28" t="n"/>
      <c r="G45" s="28" t="n"/>
    </row>
    <row r="46" ht="16" customHeight="1">
      <c r="A46" s="10" t="n">
        <v>13</v>
      </c>
      <c r="B46" s="20" t="inlineStr">
        <is>
          <t>Faisalabad</t>
        </is>
      </c>
      <c r="C46" s="25" t="n"/>
      <c r="D46" s="17" t="n">
        <v>7</v>
      </c>
      <c r="E46" s="27" t="inlineStr">
        <is>
          <t>Faisalabad</t>
        </is>
      </c>
      <c r="F46" s="28" t="n"/>
      <c r="G46" s="28" t="n"/>
    </row>
    <row r="47" ht="16" customHeight="1">
      <c r="A47" s="10" t="n">
        <v>14</v>
      </c>
      <c r="B47" s="20" t="inlineStr">
        <is>
          <t>Faisalabad Dry Port</t>
        </is>
      </c>
      <c r="C47" s="25" t="n"/>
      <c r="D47" s="17" t="n">
        <v>7</v>
      </c>
      <c r="E47" s="27" t="inlineStr">
        <is>
          <t>Faisalabad</t>
        </is>
      </c>
      <c r="F47" s="28" t="n"/>
      <c r="G47" s="28" t="n"/>
    </row>
    <row r="48" ht="16" customHeight="1">
      <c r="A48" s="10" t="n">
        <v>15</v>
      </c>
      <c r="B48" s="20" t="inlineStr">
        <is>
          <t>Rawalpindi</t>
        </is>
      </c>
      <c r="C48" s="25" t="n"/>
      <c r="D48" s="17" t="n">
        <v>8</v>
      </c>
      <c r="E48" s="27" t="inlineStr">
        <is>
          <t>Rawalpindi</t>
        </is>
      </c>
      <c r="F48" s="28" t="n"/>
      <c r="G48" s="28" t="n"/>
    </row>
    <row r="49" ht="16" customHeight="1">
      <c r="A49" s="10" t="n">
        <v>16</v>
      </c>
      <c r="B49" s="20" t="inlineStr">
        <is>
          <t>Sialkot</t>
        </is>
      </c>
      <c r="C49" s="25" t="n"/>
      <c r="D49" s="17" t="n">
        <v>9</v>
      </c>
      <c r="E49" s="27" t="inlineStr">
        <is>
          <t>Sialkot</t>
        </is>
      </c>
      <c r="F49" s="28" t="n"/>
      <c r="G49" s="28" t="n"/>
    </row>
    <row r="50" ht="16" customHeight="1">
      <c r="A50" s="10" t="n">
        <v>17</v>
      </c>
      <c r="B50" s="20" t="inlineStr">
        <is>
          <t>Sialkot Dry Port</t>
        </is>
      </c>
      <c r="C50" s="25" t="n"/>
      <c r="D50" s="17" t="n">
        <v>9</v>
      </c>
      <c r="E50" s="27" t="inlineStr">
        <is>
          <t>Sialkot</t>
        </is>
      </c>
      <c r="F50" s="28" t="n"/>
      <c r="G50" s="28" t="n"/>
    </row>
    <row r="51" ht="16" customHeight="1">
      <c r="A51" s="10" t="n">
        <v>18</v>
      </c>
      <c r="B51" s="20" t="inlineStr">
        <is>
          <t>Peshawar</t>
        </is>
      </c>
      <c r="C51" s="25" t="n"/>
      <c r="D51" s="17" t="n">
        <v>10</v>
      </c>
      <c r="E51" s="27" t="inlineStr">
        <is>
          <t>Peshawar</t>
        </is>
      </c>
      <c r="F51" s="28" t="n"/>
      <c r="G51" s="28" t="n"/>
    </row>
    <row r="52" ht="16" customHeight="1">
      <c r="A52" s="10" t="n">
        <v>19</v>
      </c>
      <c r="B52" s="20" t="inlineStr">
        <is>
          <t>Peshawar Cantt</t>
        </is>
      </c>
      <c r="C52" s="25" t="n"/>
      <c r="D52" s="17" t="n">
        <v>10</v>
      </c>
      <c r="E52" s="27" t="inlineStr">
        <is>
          <t>Peshawar</t>
        </is>
      </c>
      <c r="F52" s="28" t="n"/>
      <c r="G52" s="28" t="n"/>
    </row>
    <row r="53" ht="16" customHeight="1">
      <c r="A53" s="10" t="n">
        <v>20</v>
      </c>
      <c r="B53" s="20" t="inlineStr">
        <is>
          <t>Hyderabad</t>
        </is>
      </c>
      <c r="C53" s="25" t="n"/>
      <c r="D53" s="17" t="n">
        <v>11</v>
      </c>
      <c r="E53" s="27" t="inlineStr">
        <is>
          <t>Hyderabad</t>
        </is>
      </c>
      <c r="F53" s="28" t="n"/>
      <c r="G53" s="28" t="n"/>
    </row>
    <row r="54" ht="16" customHeight="1">
      <c r="A54" s="10" t="n">
        <v>21</v>
      </c>
      <c r="B54" s="20" t="inlineStr">
        <is>
          <t>Sukkur</t>
        </is>
      </c>
      <c r="C54" s="25" t="n"/>
      <c r="D54" s="17" t="n">
        <v>12</v>
      </c>
      <c r="E54" s="27" t="inlineStr">
        <is>
          <t>Sukkur</t>
        </is>
      </c>
      <c r="F54" s="28" t="n"/>
      <c r="G54" s="28" t="n"/>
    </row>
    <row r="55" ht="16" customHeight="1">
      <c r="A55" s="10" t="n">
        <v>22</v>
      </c>
      <c r="B55" s="20" t="inlineStr">
        <is>
          <t>Gujranwala</t>
        </is>
      </c>
      <c r="C55" s="25" t="n"/>
      <c r="D55" s="17" t="n">
        <v>13</v>
      </c>
      <c r="E55" s="27" t="inlineStr">
        <is>
          <t>Gujranwala</t>
        </is>
      </c>
      <c r="F55" s="28" t="n"/>
      <c r="G55" s="28" t="n"/>
    </row>
    <row r="56" ht="16" customHeight="1">
      <c r="A56" s="10" t="n">
        <v>23</v>
      </c>
      <c r="B56" s="20" t="inlineStr">
        <is>
          <t>Abbottabad</t>
        </is>
      </c>
      <c r="C56" s="25" t="n"/>
      <c r="D56" s="17" t="n">
        <v>14</v>
      </c>
      <c r="E56" s="27" t="inlineStr">
        <is>
          <t>Abbottabad</t>
        </is>
      </c>
      <c r="F56" s="28" t="n"/>
      <c r="G56" s="28" t="n"/>
    </row>
    <row r="57" ht="32" customHeight="1">
      <c r="A57" s="18" t="inlineStr">
        <is>
          <t>Twenty-three spellings, fourteen cities. Five of them are Karachi — and no rule you can write over the characters will tell you that Pipri Marshalling Yard is one of them. That is business knowledge, so conformance is a lookup, not a split.</t>
        </is>
      </c>
    </row>
  </sheetData>
  <mergeCells count="76">
    <mergeCell ref="A32:G32"/>
    <mergeCell ref="B47:C47"/>
    <mergeCell ref="B16:C16"/>
    <mergeCell ref="B54:C54"/>
    <mergeCell ref="A4:G4"/>
    <mergeCell ref="B46:C46"/>
    <mergeCell ref="E34:G34"/>
    <mergeCell ref="E40:G40"/>
    <mergeCell ref="E14:F14"/>
    <mergeCell ref="B18:C18"/>
    <mergeCell ref="E17:F17"/>
    <mergeCell ref="B56:C56"/>
    <mergeCell ref="B29:G29"/>
    <mergeCell ref="A10:G10"/>
    <mergeCell ref="B43:C43"/>
    <mergeCell ref="B39:C39"/>
    <mergeCell ref="E46:G46"/>
    <mergeCell ref="B52:C52"/>
    <mergeCell ref="E20:F20"/>
    <mergeCell ref="B28:G28"/>
    <mergeCell ref="E36:G36"/>
    <mergeCell ref="B48:C48"/>
    <mergeCell ref="E49:G49"/>
    <mergeCell ref="E45:G45"/>
    <mergeCell ref="E19:F19"/>
    <mergeCell ref="B42:C42"/>
    <mergeCell ref="A57:G57"/>
    <mergeCell ref="A30:G30"/>
    <mergeCell ref="B14:C14"/>
    <mergeCell ref="B17:C17"/>
    <mergeCell ref="B51:C51"/>
    <mergeCell ref="B53:C53"/>
    <mergeCell ref="E54:G54"/>
    <mergeCell ref="B24:G24"/>
    <mergeCell ref="B38:C38"/>
    <mergeCell ref="B44:C44"/>
    <mergeCell ref="A1:G1"/>
    <mergeCell ref="E41:G41"/>
    <mergeCell ref="E15:F15"/>
    <mergeCell ref="B19:C19"/>
    <mergeCell ref="B34:C34"/>
    <mergeCell ref="B37:C37"/>
    <mergeCell ref="E37:G37"/>
    <mergeCell ref="E47:G47"/>
    <mergeCell ref="E53:G53"/>
    <mergeCell ref="E50:G50"/>
    <mergeCell ref="B26:G26"/>
    <mergeCell ref="E56:G56"/>
    <mergeCell ref="B40:C40"/>
    <mergeCell ref="E43:G43"/>
    <mergeCell ref="B49:C49"/>
    <mergeCell ref="B25:G25"/>
    <mergeCell ref="B55:C55"/>
    <mergeCell ref="E55:G55"/>
    <mergeCell ref="E42:G42"/>
    <mergeCell ref="B15:C15"/>
    <mergeCell ref="E16:F16"/>
    <mergeCell ref="E52:G52"/>
    <mergeCell ref="A21:G21"/>
    <mergeCell ref="B20:C20"/>
    <mergeCell ref="E39:G39"/>
    <mergeCell ref="A12:G12"/>
    <mergeCell ref="B27:G27"/>
    <mergeCell ref="B45:C45"/>
    <mergeCell ref="E48:G48"/>
    <mergeCell ref="B36:C36"/>
    <mergeCell ref="A2:G2"/>
    <mergeCell ref="E35:G35"/>
    <mergeCell ref="B50:C50"/>
    <mergeCell ref="E44:G44"/>
    <mergeCell ref="B41:C41"/>
    <mergeCell ref="E18:F18"/>
    <mergeCell ref="B35:C35"/>
    <mergeCell ref="E51:G51"/>
    <mergeCell ref="E38:G38"/>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5" customWidth="1" min="1" max="1"/>
    <col width="40" customWidth="1" min="2" max="2"/>
    <col width="20" customWidth="1" min="3" max="3"/>
    <col width="15" customWidth="1" min="4" max="4"/>
    <col width="9" customWidth="1" min="5" max="5"/>
    <col width="11" customWidth="1" min="6" max="6"/>
    <col width="46" customWidth="1" min="7" max="7"/>
  </cols>
  <sheetData>
    <row r="1" ht="30" customHeight="1">
      <c r="A1" s="1" t="inlineStr">
        <is>
          <t>T1 · Defect Census — 12 marks</t>
        </is>
      </c>
    </row>
    <row r="2" ht="30" customHeight="1">
      <c r="A2" s="2" t="inlineStr">
        <is>
          <t>Ten defects, and for each: which of the four transform classes fixes it, which step clears it, and whether ignoring it fails loudly or quietly. Count them before you fix them.</t>
        </is>
      </c>
    </row>
    <row r="4" ht="70" customHeight="1">
      <c r="A4" s="4" t="inlineStr">
        <is>
          <t>A pipeline is designed against a census, not against the first thing you noticed. Every row below is checkable in data/source. The four transform classes are Structural, String, Type &amp; Unit and Conform — in that order, because each one needs the one before it. One row is not a defect at all; find it and say so.
Loud = the refresh errors, or a step fails outright, and somebody is told. Quiet = the load succeeds and a published number is wrong.</t>
        </is>
      </c>
    </row>
    <row r="6" ht="32" customHeight="1">
      <c r="A6" s="5" t="inlineStr">
        <is>
          <t>#</t>
        </is>
      </c>
      <c r="B6" s="5" t="inlineStr">
        <is>
          <t>Defect</t>
        </is>
      </c>
      <c r="C6" s="5" t="inlineStr">
        <is>
          <t>Where it lives</t>
        </is>
      </c>
      <c r="D6" s="5" t="inlineStr">
        <is>
          <t>Transform class</t>
        </is>
      </c>
      <c r="E6" s="5" t="inlineStr">
        <is>
          <t>Step</t>
        </is>
      </c>
      <c r="F6" s="5" t="inlineStr">
        <is>
          <t>Loud or quiet</t>
        </is>
      </c>
      <c r="G6" s="5" t="inlineStr">
        <is>
          <t>What it breaks if you ignore it</t>
        </is>
      </c>
    </row>
    <row r="7" ht="30" customHeight="1">
      <c r="A7" s="19" t="n">
        <v>1</v>
      </c>
      <c r="B7" s="16" t="inlineStr">
        <is>
          <t>Three different header conventions</t>
        </is>
      </c>
      <c r="C7" s="13" t="inlineStr">
        <is>
          <t>all three files</t>
        </is>
      </c>
      <c r="D7" s="29" t="inlineStr"/>
      <c r="E7" s="29" t="inlineStr"/>
      <c r="F7" s="29" t="inlineStr"/>
      <c r="G7" s="30" t="inlineStr"/>
    </row>
    <row r="8" ht="30" customHeight="1">
      <c r="A8" s="19" t="n">
        <v>2</v>
      </c>
      <c r="B8" s="16" t="inlineStr">
        <is>
          <t>Two title rows above the real header</t>
        </is>
      </c>
      <c r="C8" s="13" t="inlineStr">
        <is>
          <t>rail workbook</t>
        </is>
      </c>
      <c r="D8" s="29" t="inlineStr"/>
      <c r="E8" s="29" t="inlineStr"/>
      <c r="F8" s="29" t="inlineStr"/>
      <c r="G8" s="30" t="inlineStr"/>
    </row>
    <row r="9" ht="30" customHeight="1">
      <c r="A9" s="19" t="n">
        <v>3</v>
      </c>
      <c r="B9" s="16" t="inlineStr">
        <is>
          <t>Weight recorded in tons, not kilograms</t>
        </is>
      </c>
      <c r="C9" s="13" t="inlineStr">
        <is>
          <t>rail workbook</t>
        </is>
      </c>
      <c r="D9" s="29" t="inlineStr"/>
      <c r="E9" s="29" t="inlineStr"/>
      <c r="F9" s="29" t="inlineStr"/>
      <c r="G9" s="30" t="inlineStr"/>
    </row>
    <row r="10" ht="30" customHeight="1">
      <c r="A10" s="19" t="n">
        <v>4</v>
      </c>
      <c r="B10" s="16" t="inlineStr">
        <is>
          <t>Three date formats, one of them ambiguous</t>
        </is>
      </c>
      <c r="C10" s="13" t="inlineStr">
        <is>
          <t>all three files</t>
        </is>
      </c>
      <c r="D10" s="29" t="inlineStr"/>
      <c r="E10" s="29" t="inlineStr"/>
      <c r="F10" s="29" t="inlineStr"/>
      <c r="G10" s="30" t="inlineStr"/>
    </row>
    <row r="11" ht="30" customHeight="1">
      <c r="A11" s="19" t="n">
        <v>5</v>
      </c>
      <c r="B11" s="16" t="inlineStr">
        <is>
          <t>Leading and trailing spaces</t>
        </is>
      </c>
      <c r="C11" s="13" t="inlineStr">
        <is>
          <t>8 of 35 status values</t>
        </is>
      </c>
      <c r="D11" s="29" t="inlineStr"/>
      <c r="E11" s="29" t="inlineStr"/>
      <c r="F11" s="29" t="inlineStr"/>
      <c r="G11" s="30" t="inlineStr"/>
    </row>
    <row r="12" ht="30" customHeight="1">
      <c r="A12" s="19" t="n">
        <v>6</v>
      </c>
      <c r="B12" s="16" t="inlineStr">
        <is>
          <t>Seventeen casing variants of three states</t>
        </is>
      </c>
      <c r="C12" s="13" t="inlineStr">
        <is>
          <t>all three files</t>
        </is>
      </c>
      <c r="D12" s="29" t="inlineStr"/>
      <c r="E12" s="29" t="inlineStr"/>
      <c r="F12" s="29" t="inlineStr"/>
      <c r="G12" s="30" t="inlineStr"/>
    </row>
    <row r="13" ht="30" customHeight="1">
      <c r="A13" s="19" t="n">
        <v>7</v>
      </c>
      <c r="B13" s="16" t="inlineStr">
        <is>
          <t>Twenty-three spellings of fourteen cities</t>
        </is>
      </c>
      <c r="C13" s="13" t="inlineStr">
        <is>
          <t>all three files</t>
        </is>
      </c>
      <c r="D13" s="29" t="inlineStr"/>
      <c r="E13" s="29" t="inlineStr"/>
      <c r="F13" s="29" t="inlineStr"/>
      <c r="G13" s="30" t="inlineStr"/>
    </row>
    <row r="14" ht="30" customHeight="1">
      <c r="A14" s="19" t="n">
        <v>8</v>
      </c>
      <c r="B14" s="16" t="inlineStr">
        <is>
          <t>One blank row and one TOTAL footer row</t>
        </is>
      </c>
      <c r="C14" s="13" t="inlineStr">
        <is>
          <t>road file</t>
        </is>
      </c>
      <c r="D14" s="29" t="inlineStr"/>
      <c r="E14" s="29" t="inlineStr"/>
      <c r="F14" s="29" t="inlineStr"/>
      <c r="G14" s="30" t="inlineStr"/>
    </row>
    <row r="15" ht="30" customHeight="1">
      <c r="A15" s="19" t="n">
        <v>9</v>
      </c>
      <c r="B15" s="16" t="inlineStr">
        <is>
          <t>One consignment recorded twice</t>
        </is>
      </c>
      <c r="C15" s="13" t="inlineStr">
        <is>
          <t>road file · rd-505</t>
        </is>
      </c>
      <c r="D15" s="29" t="inlineStr"/>
      <c r="E15" s="29" t="inlineStr"/>
      <c r="F15" s="29" t="inlineStr"/>
      <c r="G15" s="30" t="inlineStr"/>
    </row>
    <row r="16" ht="30" customHeight="1">
      <c r="A16" s="19" t="n">
        <v>10</v>
      </c>
      <c r="B16" s="16" t="inlineStr">
        <is>
          <t>No transport mode column anywhere</t>
        </is>
      </c>
      <c r="C16" s="13" t="inlineStr">
        <is>
          <t>all three files</t>
        </is>
      </c>
      <c r="D16" s="29" t="inlineStr"/>
      <c r="E16" s="29" t="inlineStr"/>
      <c r="F16" s="29" t="inlineStr"/>
      <c r="G16" s="30" t="inlineStr"/>
    </row>
    <row r="18" ht="22" customHeight="1">
      <c r="A18" s="3" t="inlineStr">
        <is>
          <t>Self-check — three counts, and the first one is the finding</t>
        </is>
      </c>
    </row>
    <row r="19">
      <c r="B19" s="27" t="inlineStr">
        <is>
          <t>Defects that fail LOUDLY</t>
        </is>
      </c>
      <c r="C19" s="31">
        <f>COUNTIF(F7:F16,"Loud")</f>
        <v/>
      </c>
      <c r="D19" s="19">
        <f>IF(COUNTA(F7:F16)=0,"",IF(COUNTIF(F7:F16,"Loud")=1,"✔ pass","✘ fix"))</f>
        <v/>
      </c>
      <c r="E19" s="8" t="inlineStr">
        <is>
          <t>only the rail title rows — the next step cannot find its columns</t>
        </is>
      </c>
      <c r="F19" s="28" t="n"/>
      <c r="G19" s="28" t="n"/>
    </row>
    <row r="20">
      <c r="B20" s="27" t="inlineStr">
        <is>
          <t>Defects that fail QUIETLY</t>
        </is>
      </c>
      <c r="C20" s="31">
        <f>COUNTIF(F7:F16,"Quiet")</f>
        <v/>
      </c>
      <c r="D20" s="19">
        <f>IF(COUNTA(F7:F16)=0,"",IF(COUNTIF(F7:F16,"Quiet")=7,"✔ pass","✘ fix"))</f>
        <v/>
      </c>
      <c r="E20" s="8" t="inlineStr">
        <is>
          <t>the load succeeds and a number you publish is wrong</t>
        </is>
      </c>
      <c r="F20" s="28" t="n"/>
      <c r="G20" s="28" t="n"/>
    </row>
    <row r="21">
      <c r="B21" s="27" t="inlineStr">
        <is>
          <t>Defects that do BOTH</t>
        </is>
      </c>
      <c r="C21" s="31">
        <f>COUNTIF(F7:F16,"Both")</f>
        <v/>
      </c>
      <c r="D21" s="19">
        <f>IF(COUNTA(F7:F16)=0,"",IF(COUNTIF(F7:F16,"Both")=1,"✔ pass","✘ fix"))</f>
        <v/>
      </c>
      <c r="E21" s="8" t="inlineStr">
        <is>
          <t>the date locale — 1 row errors, 10 sit quietly in the wrong month</t>
        </is>
      </c>
      <c r="F21" s="28" t="n"/>
      <c r="G21" s="28" t="n"/>
    </row>
    <row r="22" ht="42" customHeight="1">
      <c r="A22" s="18" t="inlineStr">
        <is>
          <t>1 of the ten fails loudly. That is the finding, and it is the reason slide 20 says most of the engineering in a good pipeline exists to turn quiet failures into loud ones. If your Loud count is 5 or 6 you are marking “I would notice that” as loud — the test is whether the pipeline tells somebody, not whether a careful person would spot it.</t>
        </is>
      </c>
    </row>
    <row r="24" ht="22" customHeight="1">
      <c r="A24" s="3" t="inlineStr">
        <is>
          <t>Two sentences, and they carry 4 of the 12 marks</t>
        </is>
      </c>
    </row>
    <row r="25">
      <c r="B25" s="32" t="inlineStr">
        <is>
          <t>One of the ten rows is not a defect. Which, and why is it on the list at all?</t>
        </is>
      </c>
      <c r="C25" s="25" t="n"/>
    </row>
    <row r="26" ht="28" customHeight="1">
      <c r="B26" s="33" t="n"/>
      <c r="C26" s="33" t="n"/>
      <c r="D26" s="33" t="n"/>
      <c r="E26" s="33" t="n"/>
      <c r="F26" s="33" t="n"/>
      <c r="G26" s="33" t="n"/>
    </row>
    <row r="27">
      <c r="B27" s="33" t="n"/>
      <c r="C27" s="33" t="n"/>
      <c r="D27" s="33" t="n"/>
      <c r="E27" s="33" t="n"/>
      <c r="F27" s="33" t="n"/>
      <c r="G27" s="33" t="n"/>
    </row>
    <row r="28">
      <c r="B28" s="33" t="n"/>
      <c r="C28" s="33" t="n"/>
      <c r="D28" s="33" t="n"/>
      <c r="E28" s="33" t="n"/>
      <c r="F28" s="33" t="n"/>
      <c r="G28" s="33" t="n"/>
    </row>
    <row r="29">
      <c r="B29" s="32" t="inlineStr">
        <is>
          <t>Defects 8 and 9 are the two the room will argue about. Say why both are judgements rather than errors.</t>
        </is>
      </c>
      <c r="C29" s="25" t="n"/>
    </row>
    <row r="30" ht="28" customHeight="1">
      <c r="B30" s="33" t="n"/>
      <c r="C30" s="33" t="n"/>
      <c r="D30" s="33" t="n"/>
      <c r="E30" s="33" t="n"/>
      <c r="F30" s="33" t="n"/>
      <c r="G30" s="33" t="n"/>
    </row>
    <row r="31">
      <c r="B31" s="33" t="n"/>
      <c r="C31" s="33" t="n"/>
      <c r="D31" s="33" t="n"/>
      <c r="E31" s="33" t="n"/>
      <c r="F31" s="33" t="n"/>
      <c r="G31" s="33" t="n"/>
    </row>
    <row r="32">
      <c r="B32" s="33" t="n"/>
      <c r="C32" s="33" t="n"/>
      <c r="D32" s="33" t="n"/>
      <c r="E32" s="33" t="n"/>
      <c r="F32" s="33" t="n"/>
      <c r="G32" s="33" t="n"/>
    </row>
    <row r="33">
      <c r="B33" s="33" t="n"/>
      <c r="C33" s="33" t="n"/>
      <c r="D33" s="33" t="n"/>
      <c r="E33" s="33" t="n"/>
      <c r="F33" s="33" t="n"/>
      <c r="G33" s="33" t="n"/>
    </row>
  </sheetData>
  <mergeCells count="13">
    <mergeCell ref="B30:G33"/>
    <mergeCell ref="C29:G29"/>
    <mergeCell ref="A1:G1"/>
    <mergeCell ref="E19:G19"/>
    <mergeCell ref="A18:G18"/>
    <mergeCell ref="A22:G22"/>
    <mergeCell ref="A4:G4"/>
    <mergeCell ref="C25:G25"/>
    <mergeCell ref="A24:G24"/>
    <mergeCell ref="A2:G2"/>
    <mergeCell ref="E21:G21"/>
    <mergeCell ref="B26:G28"/>
    <mergeCell ref="E20:G20"/>
  </mergeCells>
  <dataValidations count="2">
    <dataValidation sqref="D7:D16" showDropDown="0" showInputMessage="0" showErrorMessage="0" allowBlank="1" type="list">
      <formula1>"Structural,String,Type &amp; Unit,Conform,Derived"</formula1>
    </dataValidation>
    <dataValidation sqref="F7:F16" showDropDown="0" showInputMessage="0" showErrorMessage="0" allowBlank="1" type="list">
      <formula1>"Loud,Quiet,Both,n/a"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5" customWidth="1" min="1" max="1"/>
    <col width="62" customWidth="1" min="2" max="2"/>
    <col width="14" customWidth="1" min="3" max="3"/>
    <col width="62" customWidth="1" min="4" max="4"/>
    <col width="10" customWidth="1" min="5" max="5"/>
    <col width="10" customWidth="1" min="6" max="6"/>
    <col width="10" customWidth="1" min="7" max="7"/>
  </cols>
  <sheetData>
    <row r="1" ht="30" customHeight="1">
      <c r="A1" s="1" t="inlineStr">
        <is>
          <t>T2 · Stage Ownership — 12 marks</t>
        </is>
      </c>
    </row>
    <row r="2" ht="30" customHeight="1">
      <c r="A2" s="2" t="inlineStr">
        <is>
          <t>Twelve activities. For each: Extract, Transform, Load — or Violation, meaning some stage is doing another stage's job, or a job no stage may do. One mark for the verdict, one for the reason.</t>
        </is>
      </c>
    </row>
    <row r="4" ht="76" customHeight="1">
      <c r="A4" s="4" t="inlineStr">
        <is>
          <t>The value of the three-word name is that it divides the blame: when a pipeline breaks you should be able to say which of the three stages broke. A stage doing another stage's job makes that impossible, which is why the three “must nots” of slide 13 are the part that gets skipped — extract must not clean, transform must not write to the source, load must not decide anything.
Four of the twelve are violations. Finding them is the task; the other eight are here so they cannot be found by elimination.</t>
        </is>
      </c>
    </row>
    <row r="6" ht="32" customHeight="1">
      <c r="A6" s="5" t="inlineStr">
        <is>
          <t>#</t>
        </is>
      </c>
      <c r="B6" s="5" t="inlineStr">
        <is>
          <t>Activity</t>
        </is>
      </c>
      <c r="C6" s="5" t="inlineStr">
        <is>
          <t>Your verdict</t>
        </is>
      </c>
      <c r="D6" s="5" t="inlineStr">
        <is>
          <t>Why — and if it is a violation, which rule it breaks</t>
        </is>
      </c>
      <c r="E6" s="5" t="inlineStr"/>
      <c r="F6" s="5" t="inlineStr"/>
      <c r="G6" s="5" t="inlineStr"/>
    </row>
    <row r="7" ht="40" customHeight="1">
      <c r="A7" s="19" t="n">
        <v>1</v>
      </c>
      <c r="B7" s="16" t="inlineStr">
        <is>
          <t>Open a connection to the rail workbook and read the named sheet</t>
        </is>
      </c>
      <c r="C7" s="29" t="inlineStr"/>
      <c r="D7" s="33" t="inlineStr"/>
    </row>
    <row r="8" ht="40" customHeight="1">
      <c r="A8" s="19" t="n">
        <v>2</v>
      </c>
      <c r="B8" s="16" t="inlineStr">
        <is>
          <t>Strip the trailing space off a status value while reading the file in</t>
        </is>
      </c>
      <c r="C8" s="29" t="inlineStr"/>
      <c r="D8" s="33" t="inlineStr"/>
    </row>
    <row r="9" ht="40" customHeight="1">
      <c r="A9" s="19" t="n">
        <v>3</v>
      </c>
      <c r="B9" s="16" t="inlineStr">
        <is>
          <t>Write the row count of each file into a run log</t>
        </is>
      </c>
      <c r="C9" s="29" t="inlineStr"/>
      <c r="D9" s="33" t="inlineStr"/>
    </row>
    <row r="10" ht="40" customHeight="1">
      <c r="A10" s="19" t="n">
        <v>4</v>
      </c>
      <c r="B10" s="16" t="inlineStr">
        <is>
          <t>Promote row 3 of the rail sheet to be the header row</t>
        </is>
      </c>
      <c r="C10" s="29" t="inlineStr"/>
      <c r="D10" s="33" t="inlineStr"/>
    </row>
    <row r="11" ht="40" customHeight="1">
      <c r="A11" s="19" t="n">
        <v>5</v>
      </c>
      <c r="B11" s="16" t="inlineStr">
        <is>
          <t>Correct the spelling of 'Pipri Marshalling Yard' in the railway's own operational database</t>
        </is>
      </c>
      <c r="C11" s="29" t="inlineStr"/>
      <c r="D11" s="33" t="inlineStr"/>
    </row>
    <row r="12" ht="40" customHeight="1">
      <c r="A12" s="19" t="n">
        <v>6</v>
      </c>
      <c r="B12" s="16" t="inlineStr">
        <is>
          <t>Multiply the rail weight column by 1,000</t>
        </is>
      </c>
      <c r="C12" s="29" t="inlineStr"/>
      <c r="D12" s="33" t="inlineStr"/>
    </row>
    <row r="13" ht="40" customHeight="1">
      <c r="A13" s="19" t="n">
        <v>7</v>
      </c>
      <c r="B13" s="16" t="inlineStr">
        <is>
          <t>Decide that 'Port Qasim' means Karachi</t>
        </is>
      </c>
      <c r="C13" s="29" t="inlineStr"/>
      <c r="D13" s="33" t="inlineStr"/>
    </row>
    <row r="14" ht="40" customHeight="1">
      <c r="A14" s="19" t="n">
        <v>8</v>
      </c>
      <c r="B14" s="16" t="inlineStr">
        <is>
          <t>Route a city the alias map does not recognise to CityKey -1</t>
        </is>
      </c>
      <c r="C14" s="29" t="inlineStr"/>
      <c r="D14" s="33" t="inlineStr"/>
    </row>
    <row r="15" ht="40" customHeight="1">
      <c r="A15" s="19" t="n">
        <v>9</v>
      </c>
      <c r="B15" s="16" t="inlineStr">
        <is>
          <t>Insert the four independent dimensions before FactShipment</t>
        </is>
      </c>
      <c r="C15" s="29" t="inlineStr"/>
      <c r="D15" s="33" t="inlineStr"/>
    </row>
    <row r="16" ht="40" customHeight="1">
      <c r="A16" s="19" t="n">
        <v>10</v>
      </c>
      <c r="B16" s="16" t="inlineStr">
        <is>
          <t>Work out what to do about a blank status value while writing the fact rows</t>
        </is>
      </c>
      <c r="C16" s="29" t="inlineStr"/>
      <c r="D16" s="33" t="inlineStr"/>
    </row>
    <row r="17" ht="40" customHeight="1">
      <c r="A17" s="19" t="n">
        <v>11</v>
      </c>
      <c r="B17" s="16" t="inlineStr">
        <is>
          <t>Wrap the six table writes so that either all of them land or none do</t>
        </is>
      </c>
      <c r="C17" s="29" t="inlineStr"/>
      <c r="D17" s="33" t="inlineStr"/>
    </row>
    <row r="18" ht="40" customHeight="1">
      <c r="A18" s="19" t="n">
        <v>12</v>
      </c>
      <c r="B18" s="16" t="inlineStr">
        <is>
          <t>Publish the staging table to the sales team so they can get at the data sooner</t>
        </is>
      </c>
      <c r="C18" s="29" t="inlineStr"/>
      <c r="D18" s="33" t="inlineStr"/>
    </row>
    <row r="20" ht="22" customHeight="1">
      <c r="A20" s="3" t="inlineStr">
        <is>
          <t>Self-check — all four must pass</t>
        </is>
      </c>
    </row>
    <row r="21">
      <c r="B21" s="27" t="inlineStr">
        <is>
          <t>Verdicts of Extract</t>
        </is>
      </c>
      <c r="C21" s="31">
        <f>COUNTIF(C7:C18,"Extract")</f>
        <v/>
      </c>
      <c r="D21" s="19">
        <f>IF(COUNTA(C7:C18)=0,"",IF(COUNTIF(C7:C18,"Extract")=2,"✔ pass","✘ fix"))</f>
        <v/>
      </c>
    </row>
    <row r="22">
      <c r="B22" s="27" t="inlineStr">
        <is>
          <t>Verdicts of Transform</t>
        </is>
      </c>
      <c r="C22" s="31">
        <f>COUNTIF(C7:C18,"Transform")</f>
        <v/>
      </c>
      <c r="D22" s="19">
        <f>IF(COUNTA(C7:C18)=0,"",IF(COUNTIF(C7:C18,"Transform")=4,"✔ pass","✘ fix"))</f>
        <v/>
      </c>
    </row>
    <row r="23">
      <c r="B23" s="27" t="inlineStr">
        <is>
          <t>Verdicts of Load</t>
        </is>
      </c>
      <c r="C23" s="31">
        <f>COUNTIF(C7:C18,"Load")</f>
        <v/>
      </c>
      <c r="D23" s="19">
        <f>IF(COUNTA(C7:C18)=0,"",IF(COUNTIF(C7:C18,"Load")=2,"✔ pass","✘ fix"))</f>
        <v/>
      </c>
    </row>
    <row r="24">
      <c r="B24" s="27" t="inlineStr">
        <is>
          <t>Verdicts of Violation</t>
        </is>
      </c>
      <c r="C24" s="31">
        <f>COUNTIF(C7:C18,"Violation")</f>
        <v/>
      </c>
      <c r="D24" s="19">
        <f>IF(COUNTA(C7:C18)=0,"",IF(COUNTIF(C7:C18,"Violation")=4,"✔ pass","✘ fix"))</f>
        <v/>
      </c>
    </row>
    <row r="25" ht="32" customHeight="1">
      <c r="A25" s="18" t="inlineStr">
        <is>
          <t>Transform takes 4 of the twelve, and that is not an accident of how the list was written — transform is where nearly all the work and nearly all the judgement lives. Extract has one job and Load has no judgement at all.</t>
        </is>
      </c>
    </row>
    <row r="27" ht="22" customHeight="1">
      <c r="A27" s="3" t="inlineStr">
        <is>
          <t>One paragraph, worth 4 of the 12 marks</t>
        </is>
      </c>
    </row>
    <row r="28">
      <c r="B28" s="32" t="inlineStr">
        <is>
          <t>Activity 12 is the one students defend. Say why staging is never user-facing — and name the Power Query setting that enforces it.</t>
        </is>
      </c>
      <c r="C28" s="25" t="n"/>
    </row>
    <row r="29" ht="28" customHeight="1">
      <c r="B29" s="33" t="n"/>
      <c r="C29" s="33" t="n"/>
      <c r="D29" s="33" t="n"/>
      <c r="E29" s="33" t="n"/>
      <c r="F29" s="33" t="n"/>
      <c r="G29" s="33" t="n"/>
    </row>
    <row r="30">
      <c r="B30" s="33" t="n"/>
      <c r="C30" s="33" t="n"/>
      <c r="D30" s="33" t="n"/>
      <c r="E30" s="33" t="n"/>
      <c r="F30" s="33" t="n"/>
      <c r="G30" s="33" t="n"/>
    </row>
    <row r="31">
      <c r="B31" s="33" t="n"/>
      <c r="C31" s="33" t="n"/>
      <c r="D31" s="33" t="n"/>
      <c r="E31" s="33" t="n"/>
      <c r="F31" s="33" t="n"/>
      <c r="G31" s="33" t="n"/>
    </row>
    <row r="32">
      <c r="B32" s="33" t="n"/>
      <c r="C32" s="33" t="n"/>
      <c r="D32" s="33" t="n"/>
      <c r="E32" s="33" t="n"/>
      <c r="F32" s="33" t="n"/>
      <c r="G32" s="33" t="n"/>
    </row>
  </sheetData>
  <mergeCells count="8">
    <mergeCell ref="B29:G32"/>
    <mergeCell ref="A1:G1"/>
    <mergeCell ref="A27:G27"/>
    <mergeCell ref="A4:G4"/>
    <mergeCell ref="C28:G28"/>
    <mergeCell ref="A20:G20"/>
    <mergeCell ref="A2:G2"/>
    <mergeCell ref="A25:G25"/>
  </mergeCells>
  <dataValidations count="1">
    <dataValidation sqref="C7:C18" showDropDown="0" showInputMessage="0" showErrorMessage="0" allowBlank="1" type="list">
      <formula1>"Extract,Transform,Load,Violation"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5" customWidth="1" min="1" max="1"/>
    <col width="46" customWidth="1" min="2" max="2"/>
    <col width="8" customWidth="1" min="3" max="3"/>
    <col width="12" customWidth="1" min="4" max="4"/>
    <col width="13" customWidth="1" min="5" max="5"/>
    <col width="12" customWidth="1" min="6" max="6"/>
    <col width="52" customWidth="1" min="7" max="7"/>
  </cols>
  <sheetData>
    <row r="1" ht="30" customHeight="1">
      <c r="A1" s="1" t="inlineStr">
        <is>
          <t>T3 · Order The Seventeen Steps — 20 marks</t>
        </is>
      </c>
    </row>
    <row r="2" ht="30" customHeight="1">
      <c r="A2" s="2" t="inlineStr">
        <is>
          <t>The steps are listed alphabetically, not in run order. Put them in an order that works, say which stage owns each one and whether it runs per source or once, and then defend the three orderings that are not negotiable.</t>
        </is>
      </c>
    </row>
    <row r="4" ht="70" customHeight="1">
      <c r="A4" s="4" t="inlineStr">
        <is>
          <t>Shape, then text, then type, then keys. Four words in that order will get you through most of this task, most of the lab and most of the midterm practical.
Differences in wording do not matter. Differences in order matter a great deal — and only three of them are actually forbidden. Everything else is taste: trim before or after casing, rename before or after dropping columns. Pick one and be consistent, because the next person has to read it.</t>
        </is>
      </c>
    </row>
    <row r="6" ht="32" customHeight="1">
      <c r="A6" s="5" t="inlineStr">
        <is>
          <t>#</t>
        </is>
      </c>
      <c r="B6" s="5" t="inlineStr">
        <is>
          <t>Step, in alphabetical order</t>
        </is>
      </c>
      <c r="C6" s="5" t="inlineStr">
        <is>
          <t>Run order</t>
        </is>
      </c>
      <c r="D6" s="5" t="inlineStr">
        <is>
          <t>Stage</t>
        </is>
      </c>
      <c r="E6" s="5" t="inlineStr">
        <is>
          <t>Per source / once</t>
        </is>
      </c>
      <c r="F6" s="5" t="inlineStr">
        <is>
          <t>Defects cleared</t>
        </is>
      </c>
      <c r="G6" s="5" t="inlineStr">
        <is>
          <t>Why it sits where you put it</t>
        </is>
      </c>
    </row>
    <row r="7" ht="38" customHeight="1">
      <c r="A7" s="10" t="n">
        <v>1</v>
      </c>
      <c r="B7" s="16" t="inlineStr">
        <is>
          <t>Add ModeKey — assigned by source, not read</t>
        </is>
      </c>
      <c r="C7" s="29" t="n"/>
      <c r="D7" s="29" t="inlineStr"/>
      <c r="E7" s="29" t="inlineStr"/>
      <c r="F7" s="29" t="inlineStr"/>
      <c r="G7" s="30" t="inlineStr"/>
    </row>
    <row r="8" ht="38" customHeight="1">
      <c r="A8" s="10" t="n">
        <v>2</v>
      </c>
      <c r="B8" s="16" t="inlineStr">
        <is>
          <t>Append the three queries into one table</t>
        </is>
      </c>
      <c r="C8" s="29" t="n"/>
      <c r="D8" s="29" t="inlineStr"/>
      <c r="E8" s="29" t="inlineStr"/>
      <c r="F8" s="29" t="inlineStr"/>
      <c r="G8" s="30" t="inlineStr"/>
    </row>
    <row r="9" ht="38" customHeight="1">
      <c r="A9" s="10" t="n">
        <v>3</v>
      </c>
      <c r="B9" s="16" t="inlineStr">
        <is>
          <t>Conform names, look up keys, unmatched to -1</t>
        </is>
      </c>
      <c r="C9" s="29" t="n"/>
      <c r="D9" s="29" t="inlineStr"/>
      <c r="E9" s="29" t="inlineStr"/>
      <c r="F9" s="29" t="inlineStr"/>
      <c r="G9" s="30" t="inlineStr"/>
    </row>
    <row r="10" ht="38" customHeight="1">
      <c r="A10" s="10" t="n">
        <v>4</v>
      </c>
      <c r="B10" s="16" t="inlineStr">
        <is>
          <t>Connect to all three sources</t>
        </is>
      </c>
      <c r="C10" s="29" t="n"/>
      <c r="D10" s="29" t="inlineStr"/>
      <c r="E10" s="29" t="inlineStr"/>
      <c r="F10" s="29" t="inlineStr"/>
      <c r="G10" s="30" t="inlineStr"/>
    </row>
    <row r="11" ht="38" customHeight="1">
      <c r="A11" s="10" t="n">
        <v>5</v>
      </c>
      <c r="B11" s="16" t="inlineStr">
        <is>
          <t>Convert rail tons to kilograms; set types</t>
        </is>
      </c>
      <c r="C11" s="29" t="n"/>
      <c r="D11" s="29" t="inlineStr"/>
      <c r="E11" s="29" t="inlineStr"/>
      <c r="F11" s="29" t="inlineStr"/>
      <c r="G11" s="30" t="inlineStr"/>
    </row>
    <row r="12" ht="38" customHeight="1">
      <c r="A12" s="10" t="n">
        <v>6</v>
      </c>
      <c r="B12" s="16" t="inlineStr">
        <is>
          <t>Land a faithful copy, unchanged</t>
        </is>
      </c>
      <c r="C12" s="29" t="n"/>
      <c r="D12" s="29" t="inlineStr"/>
      <c r="E12" s="29" t="inlineStr"/>
      <c r="F12" s="29" t="inlineStr"/>
      <c r="G12" s="30" t="inlineStr"/>
    </row>
    <row r="13" ht="38" customHeight="1">
      <c r="A13" s="10" t="n">
        <v>7</v>
      </c>
      <c r="B13" s="16" t="inlineStr">
        <is>
          <t>Load DimRoute (needs city keys)</t>
        </is>
      </c>
      <c r="C13" s="29" t="n"/>
      <c r="D13" s="29" t="inlineStr"/>
      <c r="E13" s="29" t="inlineStr"/>
      <c r="F13" s="29" t="inlineStr"/>
      <c r="G13" s="30" t="inlineStr"/>
    </row>
    <row r="14" ht="38" customHeight="1">
      <c r="A14" s="10" t="n">
        <v>8</v>
      </c>
      <c r="B14" s="16" t="inlineStr">
        <is>
          <t>Load FactShipment</t>
        </is>
      </c>
      <c r="C14" s="29" t="n"/>
      <c r="D14" s="29" t="inlineStr"/>
      <c r="E14" s="29" t="inlineStr"/>
      <c r="F14" s="29" t="inlineStr"/>
      <c r="G14" s="30" t="inlineStr"/>
    </row>
    <row r="15" ht="38" customHeight="1">
      <c r="A15" s="10" t="n">
        <v>9</v>
      </c>
      <c r="B15" s="16" t="inlineStr">
        <is>
          <t>Load the four independent dimensions</t>
        </is>
      </c>
      <c r="C15" s="29" t="n"/>
      <c r="D15" s="29" t="inlineStr"/>
      <c r="E15" s="29" t="inlineStr"/>
      <c r="F15" s="29" t="inlineStr"/>
      <c r="G15" s="30" t="inlineStr"/>
    </row>
    <row r="16" ht="38" customHeight="1">
      <c r="A16" s="10" t="n">
        <v>10</v>
      </c>
      <c r="B16" s="16" t="inlineStr">
        <is>
          <t>Log source, time and row count</t>
        </is>
      </c>
      <c r="C16" s="29" t="n"/>
      <c r="D16" s="29" t="inlineStr"/>
      <c r="E16" s="29" t="inlineStr"/>
      <c r="F16" s="29" t="inlineStr"/>
      <c r="G16" s="30" t="inlineStr"/>
    </row>
    <row r="17" ht="38" customHeight="1">
      <c r="A17" s="10" t="n">
        <v>11</v>
      </c>
      <c r="B17" s="16" t="inlineStr">
        <is>
          <t>Normalise status casing to Proper Case</t>
        </is>
      </c>
      <c r="C17" s="29" t="n"/>
      <c r="D17" s="29" t="inlineStr"/>
      <c r="E17" s="29" t="inlineStr"/>
      <c r="F17" s="29" t="inlineStr"/>
      <c r="G17" s="30" t="inlineStr"/>
    </row>
    <row r="18" ht="38" customHeight="1">
      <c r="A18" s="10" t="n">
        <v>12</v>
      </c>
      <c r="B18" s="16" t="inlineStr">
        <is>
          <t>Parse dates with an explicit locale</t>
        </is>
      </c>
      <c r="C18" s="29" t="n"/>
      <c r="D18" s="29" t="inlineStr"/>
      <c r="E18" s="29" t="inlineStr"/>
      <c r="F18" s="29" t="inlineStr"/>
      <c r="G18" s="30" t="inlineStr"/>
    </row>
    <row r="19" ht="38" customHeight="1">
      <c r="A19" s="10" t="n">
        <v>13</v>
      </c>
      <c r="B19" s="16" t="inlineStr">
        <is>
          <t>Promote headers; drop junk rows and columns</t>
        </is>
      </c>
      <c r="C19" s="29" t="n"/>
      <c r="D19" s="29" t="inlineStr"/>
      <c r="E19" s="29" t="inlineStr"/>
      <c r="F19" s="29" t="inlineStr"/>
      <c r="G19" s="30" t="inlineStr"/>
    </row>
    <row r="20" ht="38" customHeight="1">
      <c r="A20" s="10" t="n">
        <v>14</v>
      </c>
      <c r="B20" s="16" t="inlineStr">
        <is>
          <t>Reconcile, or fail the run</t>
        </is>
      </c>
      <c r="C20" s="29" t="n"/>
      <c r="D20" s="29" t="inlineStr"/>
      <c r="E20" s="29" t="inlineStr"/>
      <c r="F20" s="29" t="inlineStr"/>
      <c r="G20" s="30" t="inlineStr"/>
    </row>
    <row r="21" ht="38" customHeight="1">
      <c r="A21" s="10" t="n">
        <v>15</v>
      </c>
      <c r="B21" s="16" t="inlineStr">
        <is>
          <t>Remove duplicates, now that rows compare</t>
        </is>
      </c>
      <c r="C21" s="29" t="n"/>
      <c r="D21" s="29" t="inlineStr"/>
      <c r="E21" s="29" t="inlineStr"/>
      <c r="F21" s="29" t="inlineStr"/>
      <c r="G21" s="30" t="inlineStr"/>
    </row>
    <row r="22" ht="38" customHeight="1">
      <c r="A22" s="10" t="n">
        <v>16</v>
      </c>
      <c r="B22" s="16" t="inlineStr">
        <is>
          <t>Rename every column to the common contract</t>
        </is>
      </c>
      <c r="C22" s="29" t="n"/>
      <c r="D22" s="29" t="inlineStr"/>
      <c r="E22" s="29" t="inlineStr"/>
      <c r="F22" s="29" t="inlineStr"/>
      <c r="G22" s="30" t="inlineStr"/>
    </row>
    <row r="23" ht="38" customHeight="1">
      <c r="A23" s="10" t="n">
        <v>17</v>
      </c>
      <c r="B23" s="16" t="inlineStr">
        <is>
          <t>Trim and clean all text columns</t>
        </is>
      </c>
      <c r="C23" s="29" t="n"/>
      <c r="D23" s="29" t="inlineStr"/>
      <c r="E23" s="29" t="inlineStr"/>
      <c r="F23" s="29" t="inlineStr"/>
      <c r="G23" s="30" t="inlineStr"/>
    </row>
    <row r="25" ht="22" customHeight="1">
      <c r="A25" s="3" t="inlineStr">
        <is>
          <t>Self-check — six counts, and every one of them must pass</t>
        </is>
      </c>
    </row>
    <row r="26">
      <c r="B26" s="27" t="inlineStr">
        <is>
          <t>Run-order numbers used, each exactly once</t>
        </is>
      </c>
      <c r="C26" s="31">
        <f>SUMPRODUCT((COUNTIF(C7:C23,ROW(INDIRECT("1:17")))=1)*1)</f>
        <v/>
      </c>
      <c r="D26" s="19">
        <f>IF(COUNTA(C7:E23)=0,"",IF(SUMPRODUCT((COUNTIF(C7:C23,ROW(INDIRECT("1:17")))=1)*1)=17,"✔ pass","✘ fix"))</f>
        <v/>
      </c>
      <c r="E26" s="8" t="inlineStr">
        <is>
          <t>expected 17</t>
        </is>
      </c>
      <c r="F26" s="28" t="n"/>
      <c r="G26" s="28" t="n"/>
    </row>
    <row r="27">
      <c r="B27" s="27" t="inlineStr">
        <is>
          <t>Extract steps</t>
        </is>
      </c>
      <c r="C27" s="31">
        <f>COUNTIF(D7:D23,"Extract")</f>
        <v/>
      </c>
      <c r="D27" s="19">
        <f>IF(COUNTA(C7:E23)=0,"",IF(COUNTIF(D7:D23,"Extract")=3,"✔ pass","✘ fix"))</f>
        <v/>
      </c>
      <c r="E27" s="8" t="inlineStr">
        <is>
          <t>expected 3</t>
        </is>
      </c>
      <c r="F27" s="28" t="n"/>
      <c r="G27" s="28" t="n"/>
    </row>
    <row r="28">
      <c r="B28" s="27" t="inlineStr">
        <is>
          <t>Transform steps</t>
        </is>
      </c>
      <c r="C28" s="31">
        <f>COUNTIF(D7:D23,"Transform")</f>
        <v/>
      </c>
      <c r="D28" s="19">
        <f>IF(COUNTA(C7:E23)=0,"",IF(COUNTIF(D7:D23,"Transform")=10,"✔ pass","✘ fix"))</f>
        <v/>
      </c>
      <c r="E28" s="8" t="inlineStr">
        <is>
          <t>expected 10</t>
        </is>
      </c>
      <c r="F28" s="28" t="n"/>
      <c r="G28" s="28" t="n"/>
    </row>
    <row r="29">
      <c r="B29" s="27" t="inlineStr">
        <is>
          <t>Load steps</t>
        </is>
      </c>
      <c r="C29" s="31">
        <f>COUNTIF(D7:D23,"Load")</f>
        <v/>
      </c>
      <c r="D29" s="19">
        <f>IF(COUNTA(C7:E23)=0,"",IF(COUNTIF(D7:D23,"Load")=4,"✔ pass","✘ fix"))</f>
        <v/>
      </c>
      <c r="E29" s="8" t="inlineStr">
        <is>
          <t>expected 4</t>
        </is>
      </c>
      <c r="F29" s="28" t="n"/>
      <c r="G29" s="28" t="n"/>
    </row>
    <row r="30">
      <c r="B30" s="27" t="inlineStr">
        <is>
          <t>Steps that run per source</t>
        </is>
      </c>
      <c r="C30" s="31">
        <f>COUNTIF(E7:E23,"per source")</f>
        <v/>
      </c>
      <c r="D30" s="19">
        <f>IF(COUNTA(C7:E23)=0,"",IF(COUNTIF(E7:E23,"per source")=10,"✔ pass","✘ fix"))</f>
        <v/>
      </c>
      <c r="E30" s="8" t="inlineStr">
        <is>
          <t>expected 10</t>
        </is>
      </c>
      <c r="F30" s="28" t="n"/>
      <c r="G30" s="28" t="n"/>
    </row>
    <row r="31">
      <c r="B31" s="27" t="inlineStr">
        <is>
          <t>Steps that run once, on the combined table</t>
        </is>
      </c>
      <c r="C31" s="31">
        <f>COUNTIF(E7:E23,"once")</f>
        <v/>
      </c>
      <c r="D31" s="19">
        <f>IF(COUNTA(C7:E23)=0,"",IF(COUNTIF(E7:E23,"once")=7,"✔ pass","✘ fix"))</f>
        <v/>
      </c>
      <c r="E31" s="8" t="inlineStr">
        <is>
          <t>expected 7</t>
        </is>
      </c>
      <c r="F31" s="28" t="n"/>
      <c r="G31" s="28" t="n"/>
    </row>
    <row r="32" ht="34" customHeight="1">
      <c r="A32" s="18" t="inlineStr">
        <is>
          <t>10 per source and 7 once. Every step up to and including “Add ModeKey” runs on each of the three queries; from the append onwards there is only one table left to run on. Getting this column wrong is how a student ends up appending three already-deduplicated tables and still finding a duplicate.</t>
        </is>
      </c>
    </row>
    <row r="34" ht="22" customHeight="1">
      <c r="A34" s="3" t="inlineStr">
        <is>
          <t>The three constraints that are not negotiable — 9 of the 20 marks</t>
        </is>
      </c>
    </row>
    <row r="35" ht="32" customHeight="1">
      <c r="A35" s="5" t="inlineStr">
        <is>
          <t>#</t>
        </is>
      </c>
      <c r="B35" s="5" t="inlineStr">
        <is>
          <t>The constraint</t>
        </is>
      </c>
      <c r="C35" s="5" t="inlineStr">
        <is>
          <t>Before</t>
        </is>
      </c>
      <c r="D35" s="5" t="inlineStr">
        <is>
          <t>After</t>
        </is>
      </c>
      <c r="E35" s="5" t="inlineStr">
        <is>
          <t>The cost of breaking it, in numbers</t>
        </is>
      </c>
      <c r="F35" s="5" t="inlineStr"/>
      <c r="G35" s="5" t="inlineStr">
        <is>
          <t>Why</t>
        </is>
      </c>
    </row>
    <row r="36" ht="56" customHeight="1">
      <c r="A36" s="19" t="n">
        <v>1</v>
      </c>
      <c r="B36" s="32" t="inlineStr">
        <is>
          <t>Rename before append</t>
        </is>
      </c>
      <c r="C36" s="29" t="inlineStr"/>
      <c r="D36" s="29" t="inlineStr"/>
      <c r="E36" s="33" t="inlineStr"/>
      <c r="F36" s="34" t="n"/>
      <c r="G36" s="30" t="inlineStr"/>
    </row>
    <row r="37" ht="56" customHeight="1">
      <c r="A37" s="19" t="n">
        <v>2</v>
      </c>
      <c r="B37" s="32" t="inlineStr">
        <is>
          <t>Trim before deduplicate</t>
        </is>
      </c>
      <c r="C37" s="29" t="inlineStr"/>
      <c r="D37" s="29" t="inlineStr"/>
      <c r="E37" s="33" t="inlineStr"/>
      <c r="F37" s="34" t="n"/>
      <c r="G37" s="30" t="inlineStr"/>
    </row>
    <row r="38" ht="56" customHeight="1">
      <c r="A38" s="19" t="n">
        <v>3</v>
      </c>
      <c r="B38" s="32" t="inlineStr">
        <is>
          <t>Convert before append</t>
        </is>
      </c>
      <c r="C38" s="29" t="inlineStr"/>
      <c r="D38" s="29" t="inlineStr"/>
      <c r="E38" s="33" t="inlineStr"/>
      <c r="F38" s="34" t="n"/>
      <c r="G38" s="30" t="inlineStr"/>
    </row>
    <row r="40" ht="22" customHeight="1">
      <c r="A40" s="3" t="inlineStr">
        <is>
          <t>And the question that separates a rule from a habit — 4 of the 20 marks</t>
        </is>
      </c>
    </row>
    <row r="41">
      <c r="B41" s="32" t="inlineStr">
        <is>
          <t>Run the dedup step before the trim step on tonight's road file and you still get 34 rows. So why is “trim before dedup” a constraint and not a preference?</t>
        </is>
      </c>
      <c r="C41" s="25" t="n"/>
    </row>
    <row r="42" ht="28" customHeight="1">
      <c r="B42" s="33" t="n"/>
      <c r="C42" s="33" t="n"/>
      <c r="D42" s="33" t="n"/>
      <c r="E42" s="33" t="n"/>
      <c r="F42" s="33" t="n"/>
      <c r="G42" s="33" t="n"/>
    </row>
    <row r="43">
      <c r="B43" s="33" t="n"/>
      <c r="C43" s="33" t="n"/>
      <c r="D43" s="33" t="n"/>
      <c r="E43" s="33" t="n"/>
      <c r="F43" s="33" t="n"/>
      <c r="G43" s="33" t="n"/>
    </row>
    <row r="44">
      <c r="B44" s="33" t="n"/>
      <c r="C44" s="33" t="n"/>
      <c r="D44" s="33" t="n"/>
      <c r="E44" s="33" t="n"/>
      <c r="F44" s="33" t="n"/>
      <c r="G44" s="33" t="n"/>
    </row>
    <row r="45">
      <c r="B45" s="33" t="n"/>
      <c r="C45" s="33" t="n"/>
      <c r="D45" s="33" t="n"/>
      <c r="E45" s="33" t="n"/>
      <c r="F45" s="33" t="n"/>
      <c r="G45" s="33" t="n"/>
    </row>
    <row r="46">
      <c r="B46" s="33" t="n"/>
      <c r="C46" s="33" t="n"/>
      <c r="D46" s="33" t="n"/>
      <c r="E46" s="33" t="n"/>
      <c r="F46" s="33" t="n"/>
      <c r="G46" s="33" t="n"/>
    </row>
  </sheetData>
  <mergeCells count="18">
    <mergeCell ref="A32:G32"/>
    <mergeCell ref="B42:G46"/>
    <mergeCell ref="E28:G28"/>
    <mergeCell ref="A1:G1"/>
    <mergeCell ref="E38:F38"/>
    <mergeCell ref="A40:G40"/>
    <mergeCell ref="E30:G30"/>
    <mergeCell ref="E27:G27"/>
    <mergeCell ref="A34:G34"/>
    <mergeCell ref="E31:G31"/>
    <mergeCell ref="A4:G4"/>
    <mergeCell ref="C41:G41"/>
    <mergeCell ref="E26:G26"/>
    <mergeCell ref="A2:G2"/>
    <mergeCell ref="E36:F36"/>
    <mergeCell ref="E37:F37"/>
    <mergeCell ref="A25:G25"/>
    <mergeCell ref="E29:G29"/>
  </mergeCells>
  <dataValidations count="2">
    <dataValidation sqref="D7:D23" showDropDown="0" showInputMessage="0" showErrorMessage="0" allowBlank="1" type="list">
      <formula1>"Extract,Transform,Load"</formula1>
    </dataValidation>
    <dataValidation sqref="E7:E23" showDropDown="0" showInputMessage="0" showErrorMessage="0" allowBlank="1" type="list">
      <formula1>"per source,once"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40" customWidth="1" min="2" max="2"/>
    <col width="11" customWidth="1" min="3" max="3"/>
    <col width="15" customWidth="1" min="4" max="4"/>
    <col width="15" customWidth="1" min="5" max="5"/>
    <col width="13" customWidth="1" min="6" max="6"/>
    <col width="50" customWidth="1" min="7" max="7"/>
  </cols>
  <sheetData>
    <row r="1" ht="30" customHeight="1">
      <c r="A1" s="1" t="inlineStr">
        <is>
          <t>T4 · Row Arithmetic — 15 marks</t>
        </is>
      </c>
    </row>
    <row r="2" ht="30" customHeight="1">
      <c r="A2" s="2" t="inlineStr">
        <is>
          <t>37 raw rows, 35 appended, 34 loaded. Every wrong total in the lab is 578,650 plus or minus something specific, and the something tells you which step failed. Learn to read the gap.</t>
        </is>
      </c>
    </row>
    <row r="4" ht="54" customHeight="1">
      <c r="A4" s="4" t="inlineStr">
        <is>
          <t>Fill the ladder from the files, not from the slides. Open data/source and add the columns up — three subtotals, one appended total, one loaded total. Then work the diagnostics underneath: each row is a symptom you will actually see in Power BI, and your job is the arithmetic that produced it and the step that was missing.</t>
        </is>
      </c>
    </row>
    <row r="6" ht="22" customHeight="1">
      <c r="A6" s="3" t="inlineStr">
        <is>
          <t>Part A · The ladder — 6 marks</t>
        </is>
      </c>
    </row>
    <row r="7" ht="32" customHeight="1">
      <c r="A7" s="5" t="inlineStr">
        <is>
          <t>#</t>
        </is>
      </c>
      <c r="B7" s="5" t="inlineStr">
        <is>
          <t>Stage</t>
        </is>
      </c>
      <c r="C7" s="5" t="inlineStr">
        <is>
          <t>Rows</t>
        </is>
      </c>
      <c r="D7" s="5" t="inlineStr">
        <is>
          <t>SUM(WeightKG)</t>
        </is>
      </c>
      <c r="E7" s="5" t="inlineStr">
        <is>
          <t>SUM(FreightCostPKR)</t>
        </is>
      </c>
      <c r="F7" s="5" t="inlineStr">
        <is>
          <t>Check</t>
        </is>
      </c>
      <c r="G7" s="5" t="inlineStr">
        <is>
          <t>What happens here</t>
        </is>
      </c>
    </row>
    <row r="8" ht="30" customHeight="1">
      <c r="A8" s="19" t="n">
        <v>1</v>
      </c>
      <c r="B8" s="16" t="inlineStr">
        <is>
          <t>marine_shipments.csv, as extracted</t>
        </is>
      </c>
      <c r="C8" s="35" t="n"/>
      <c r="D8" s="35" t="n"/>
      <c r="E8" s="35" t="n"/>
      <c r="F8" s="19">
        <f>IF(C8="","",IF(AND(C8=12,D8=206500,E8=1618000),"✔ pass","✘ fix"))</f>
        <v/>
      </c>
      <c r="G8" s="8" t="inlineStr">
        <is>
          <t>clean file — no junk lines, nothing dropped</t>
        </is>
      </c>
    </row>
    <row r="9" ht="30" customHeight="1">
      <c r="A9" s="19" t="n">
        <v>2</v>
      </c>
      <c r="B9" s="16" t="inlineStr">
        <is>
          <t>rail_shipments.xlsx, as extracted</t>
        </is>
      </c>
      <c r="C9" s="35" t="n"/>
      <c r="D9" s="35" t="n"/>
      <c r="E9" s="35" t="n"/>
      <c r="F9" s="19">
        <f>IF(C9="","",IF(AND(C9=10,D9=295250,E9=2585000),"✔ pass","✘ fix"))</f>
        <v/>
      </c>
      <c r="G9" s="8" t="inlineStr">
        <is>
          <t>10 rows, after the two title rows are skipped</t>
        </is>
      </c>
    </row>
    <row r="10" ht="30" customHeight="1">
      <c r="A10" s="19" t="n">
        <v>3</v>
      </c>
      <c r="B10" s="16" t="inlineStr">
        <is>
          <t>road_shipments.csv, as extracted</t>
        </is>
      </c>
      <c r="C10" s="35" t="n"/>
      <c r="D10" s="35" t="n"/>
      <c r="E10" s="35" t="n"/>
      <c r="F10" s="19">
        <f>IF(C10="","",IF(AND(C10=15,D10=83000,E10=652000),"✔ pass","✘ fix"))</f>
        <v/>
      </c>
      <c r="G10" s="8" t="inlineStr">
        <is>
          <t>15 rows land; 13 survive T1 — the blank line and the TOTAL footer go</t>
        </is>
      </c>
    </row>
    <row r="11" ht="30" customHeight="1">
      <c r="A11" s="19" t="n">
        <v>4</v>
      </c>
      <c r="B11" s="16" t="inlineStr">
        <is>
          <t>raw rows landed in staging</t>
        </is>
      </c>
      <c r="C11" s="35" t="n"/>
      <c r="D11" s="35" t="n"/>
      <c r="E11" s="35" t="n"/>
      <c r="F11" s="19">
        <f>IF(C11="","",IF(AND(C11=37),"✔ pass","✘ fix"))</f>
        <v/>
      </c>
      <c r="G11" s="8" t="inlineStr">
        <is>
          <t>what the extract log must say, junk included</t>
        </is>
      </c>
    </row>
    <row r="12" ht="30" customHeight="1">
      <c r="A12" s="19" t="n">
        <v>5</v>
      </c>
      <c r="B12" s="16" t="inlineStr">
        <is>
          <t>appended on T8</t>
        </is>
      </c>
      <c r="C12" s="35" t="n"/>
      <c r="D12" s="35" t="n"/>
      <c r="E12" s="35" t="n"/>
      <c r="F12" s="19">
        <f>IF(C12="","",IF(AND(C12=35,D12=584750,E12=4855000),"✔ pass","✘ fix"))</f>
        <v/>
      </c>
      <c r="G12" s="8" t="inlineStr">
        <is>
          <t>37 less the blank line and the TOTAL footer</t>
        </is>
      </c>
    </row>
    <row r="13" ht="30" customHeight="1">
      <c r="A13" s="19" t="n">
        <v>6</v>
      </c>
      <c r="B13" s="16" t="inlineStr">
        <is>
          <t>loaded into FactShipment</t>
        </is>
      </c>
      <c r="C13" s="35" t="n"/>
      <c r="D13" s="35" t="n"/>
      <c r="E13" s="35" t="n"/>
      <c r="F13" s="19">
        <f>IF(C13="","",IF(AND(C13=34,D13=578650,E13=4808000),"✔ pass","✘ fix"))</f>
        <v/>
      </c>
      <c r="G13" s="8" t="inlineStr">
        <is>
          <t>after duplicate RD-505 is removed on T9</t>
        </is>
      </c>
    </row>
    <row r="14">
      <c r="B14" s="36" t="inlineStr">
        <is>
          <t>CHECKS PASSING</t>
        </is>
      </c>
      <c r="C14" s="6">
        <f>COUNTIF(F8:F13,"✔ pass")</f>
        <v/>
      </c>
      <c r="D14" s="6" t="inlineStr">
        <is>
          <t>of 6</t>
        </is>
      </c>
      <c r="E14" s="19">
        <f>IF(COUNTA(C8:E13)=0,"",IF(COUNTIF(F8:F13,"✔ pass")=6,"✔ pass","✘ fix"))</f>
        <v/>
      </c>
    </row>
    <row r="15" ht="34" customHeight="1">
      <c r="A15" s="18" t="inlineStr">
        <is>
          <t>Row 3 is the one that catches people: fifteen rows land from the road file and thirteen survive. The blank line and the TOTAL footer both go, and the road subtotal of 83,000 kg still has the duplicate RD-505 inside it — which is why rung 3 and rung 6 disagree by 6,100 kg and not by nothing.</t>
        </is>
      </c>
    </row>
    <row r="17" ht="22" customHeight="1">
      <c r="A17" s="3" t="inlineStr">
        <is>
          <t>Part B · Read the gap — 9 marks</t>
        </is>
      </c>
    </row>
    <row r="18" ht="42" customHeight="1">
      <c r="A18" s="4" t="inlineStr">
        <is>
          <t>Each symptom below is a real total a student has handed in. Work out the arithmetic that produced it, then name the step that was missing or misplaced. The gap column is the giveaway: a gap of 6,100 is one duplicated road row, a gap of 83,000 is the TOTAL footer, a gap of about 295,000 is the rail conversion.</t>
        </is>
      </c>
    </row>
    <row r="19" ht="32" customHeight="1">
      <c r="A19" s="5" t="inlineStr">
        <is>
          <t>#</t>
        </is>
      </c>
      <c r="B19" s="5" t="inlineStr">
        <is>
          <t>What you see in the card visual</t>
        </is>
      </c>
      <c r="C19" s="5" t="inlineStr">
        <is>
          <t>Rows</t>
        </is>
      </c>
      <c r="D19" s="5" t="inlineStr">
        <is>
          <t>The arithmetic</t>
        </is>
      </c>
      <c r="E19" s="5" t="inlineStr">
        <is>
          <t>Gap vs 578,650</t>
        </is>
      </c>
      <c r="F19" s="5" t="inlineStr">
        <is>
          <t>Step</t>
        </is>
      </c>
      <c r="G19" s="5" t="inlineStr">
        <is>
          <t>The cause, and the fix</t>
        </is>
      </c>
    </row>
    <row r="20" ht="44" customHeight="1">
      <c r="A20" s="19" t="n">
        <v>1</v>
      </c>
      <c r="B20" s="20" t="inlineStr">
        <is>
          <t>SUM(WeightKG) = 283,695.25 kg</t>
        </is>
      </c>
      <c r="C20" s="35" t="n"/>
      <c r="D20" s="37" t="inlineStr"/>
      <c r="E20" s="29" t="n"/>
      <c r="F20" s="29" t="inlineStr"/>
      <c r="G20" s="30" t="inlineStr"/>
    </row>
    <row r="21" ht="44" customHeight="1">
      <c r="A21" s="19" t="n">
        <v>2</v>
      </c>
      <c r="B21" s="20" t="inlineStr">
        <is>
          <t>SUM(WeightKG) = 584,750 kg</t>
        </is>
      </c>
      <c r="C21" s="35" t="n"/>
      <c r="D21" s="37" t="inlineStr"/>
      <c r="E21" s="29" t="n"/>
      <c r="F21" s="29" t="inlineStr"/>
      <c r="G21" s="30" t="inlineStr"/>
    </row>
    <row r="22" ht="44" customHeight="1">
      <c r="A22" s="19" t="n">
        <v>3</v>
      </c>
      <c r="B22" s="20" t="inlineStr">
        <is>
          <t>SUM(WeightKG) = 661,650 kg</t>
        </is>
      </c>
      <c r="C22" s="35" t="n"/>
      <c r="D22" s="37" t="inlineStr"/>
      <c r="E22" s="29" t="n"/>
      <c r="F22" s="29" t="inlineStr"/>
      <c r="G22" s="30" t="inlineStr"/>
    </row>
    <row r="24" ht="22" customHeight="1">
      <c r="A24" s="3" t="inlineStr">
        <is>
          <t>Two more symptoms, and neither of them moves a total</t>
        </is>
      </c>
    </row>
    <row r="25" ht="48" customHeight="1">
      <c r="B25" s="38" t="inlineStr">
        <is>
          <t>The headers read Column1, Column2, Column3 …</t>
        </is>
      </c>
      <c r="C25" s="33" t="inlineStr"/>
      <c r="D25" s="34" t="n"/>
      <c r="E25" s="34" t="n"/>
      <c r="F25" s="34" t="n"/>
      <c r="G25" s="34" t="n"/>
    </row>
    <row r="26" ht="48" customHeight="1">
      <c r="B26" s="38" t="inlineStr">
        <is>
          <t>FactShipment has 35 rows but both totals are exactly right</t>
        </is>
      </c>
      <c r="C26" s="33" t="inlineStr"/>
      <c r="D26" s="34" t="n"/>
      <c r="E26" s="34" t="n"/>
      <c r="F26" s="34" t="n"/>
      <c r="G26" s="34" t="n"/>
    </row>
  </sheetData>
  <mergeCells count="10">
    <mergeCell ref="A1:G1"/>
    <mergeCell ref="A17:G17"/>
    <mergeCell ref="A18:G18"/>
    <mergeCell ref="A6:G6"/>
    <mergeCell ref="A4:G4"/>
    <mergeCell ref="C25:G25"/>
    <mergeCell ref="A24:G24"/>
    <mergeCell ref="A2:G2"/>
    <mergeCell ref="A15:G15"/>
    <mergeCell ref="C26:G26"/>
  </mergeCells>
  <dataValidations count="1">
    <dataValidation sqref="F20:F22" showDropDown="0" showInputMessage="0" showErrorMessage="0" allowBlank="1" type="list">
      <formula1>"E1,E2,E3,T1,T2,T3,T4,T5,T6,T7,T8,T9,T10,L1,L2,L3,L4"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showGridLines="0" workbookViewId="0">
      <selection activeCell="A1" sqref="A1"/>
    </sheetView>
  </sheetViews>
  <sheetFormatPr baseColWidth="8" defaultRowHeight="15"/>
  <cols>
    <col width="5" customWidth="1" min="1" max="1"/>
    <col width="16" customWidth="1" min="2" max="2"/>
    <col width="18" customWidth="1" min="3" max="3"/>
    <col width="18" customWidth="1" min="4" max="4"/>
    <col width="16" customWidth="1" min="5" max="5"/>
    <col width="12" customWidth="1" min="6" max="6"/>
    <col width="48" customWidth="1" min="7" max="7"/>
  </cols>
  <sheetData>
    <row r="1" ht="30" customHeight="1">
      <c r="A1" s="1" t="inlineStr">
        <is>
          <t>T5 · The Locale Trap — 12 marks</t>
        </is>
      </c>
    </row>
    <row r="2" ht="30" customHeight="1">
      <c r="A2" s="2" t="inlineStr">
        <is>
          <t>Twelve date strings from the marine file, read two ways. This is the only defect of the ten that produces a plausible, confidently wrong answer with no error message anywhere — and both reconciliation totals pass it perfectly.</t>
        </is>
      </c>
    </row>
    <row r="4" ht="54" customHeight="1">
      <c r="A4" s="4" t="inlineStr">
        <is>
          <t>Your marine file writes dates as 01/02/2026, meaning the first of February. On a machine set to United States regional settings, Power Query reads that as the second of January. Fill in both columns for all twelve strings, then classify each row. Correct = the two readings agree. Wrong month = they do not. Error = en-US cannot read it at all.</t>
        </is>
      </c>
    </row>
    <row r="6" ht="32" customHeight="1">
      <c r="A6" s="5" t="inlineStr">
        <is>
          <t>#</t>
        </is>
      </c>
      <c r="B6" s="5" t="inlineStr">
        <is>
          <t>The raw string</t>
        </is>
      </c>
      <c r="C6" s="5" t="inlineStr">
        <is>
          <t>en-GB · dd/MM/yyyy</t>
        </is>
      </c>
      <c r="D6" s="5" t="inlineStr">
        <is>
          <t>en-US · MM/dd/yyyy</t>
        </is>
      </c>
      <c r="E6" s="5" t="inlineStr">
        <is>
          <t>Verdict</t>
        </is>
      </c>
      <c r="F6" s="5" t="inlineStr">
        <is>
          <t>Month (US)</t>
        </is>
      </c>
      <c r="G6" s="5" t="inlineStr">
        <is>
          <t>Why this row behaves the way it does</t>
        </is>
      </c>
    </row>
    <row r="7" ht="24" customHeight="1">
      <c r="A7" s="19" t="n">
        <v>1</v>
      </c>
      <c r="B7" s="39" t="inlineStr">
        <is>
          <t>01/02/2026</t>
        </is>
      </c>
      <c r="C7" s="29" t="inlineStr"/>
      <c r="D7" s="29" t="inlineStr"/>
      <c r="E7" s="29" t="inlineStr"/>
      <c r="F7" s="29" t="inlineStr"/>
      <c r="G7" s="30" t="inlineStr"/>
    </row>
    <row r="8" ht="24" customHeight="1">
      <c r="A8" s="19" t="n">
        <v>2</v>
      </c>
      <c r="B8" s="39" t="inlineStr">
        <is>
          <t>02/02/2026</t>
        </is>
      </c>
      <c r="C8" s="29" t="inlineStr"/>
      <c r="D8" s="29" t="inlineStr"/>
      <c r="E8" s="29" t="inlineStr"/>
      <c r="F8" s="29" t="inlineStr"/>
      <c r="G8" s="30" t="inlineStr"/>
    </row>
    <row r="9" ht="24" customHeight="1">
      <c r="A9" s="19" t="n">
        <v>3</v>
      </c>
      <c r="B9" s="39" t="inlineStr">
        <is>
          <t>03/02/2026</t>
        </is>
      </c>
      <c r="C9" s="29" t="inlineStr"/>
      <c r="D9" s="29" t="inlineStr"/>
      <c r="E9" s="29" t="inlineStr"/>
      <c r="F9" s="29" t="inlineStr"/>
      <c r="G9" s="30" t="inlineStr"/>
    </row>
    <row r="10" ht="24" customHeight="1">
      <c r="A10" s="19" t="n">
        <v>4</v>
      </c>
      <c r="B10" s="39" t="inlineStr">
        <is>
          <t>04/02/2026</t>
        </is>
      </c>
      <c r="C10" s="29" t="inlineStr"/>
      <c r="D10" s="29" t="inlineStr"/>
      <c r="E10" s="29" t="inlineStr"/>
      <c r="F10" s="29" t="inlineStr"/>
      <c r="G10" s="30" t="inlineStr"/>
    </row>
    <row r="11" ht="24" customHeight="1">
      <c r="A11" s="19" t="n">
        <v>5</v>
      </c>
      <c r="B11" s="39" t="inlineStr">
        <is>
          <t>05/02/2026</t>
        </is>
      </c>
      <c r="C11" s="29" t="inlineStr"/>
      <c r="D11" s="29" t="inlineStr"/>
      <c r="E11" s="29" t="inlineStr"/>
      <c r="F11" s="29" t="inlineStr"/>
      <c r="G11" s="30" t="inlineStr"/>
    </row>
    <row r="12" ht="24" customHeight="1">
      <c r="A12" s="19" t="n">
        <v>6</v>
      </c>
      <c r="B12" s="39" t="inlineStr">
        <is>
          <t>06/02/2026</t>
        </is>
      </c>
      <c r="C12" s="29" t="inlineStr"/>
      <c r="D12" s="29" t="inlineStr"/>
      <c r="E12" s="29" t="inlineStr"/>
      <c r="F12" s="29" t="inlineStr"/>
      <c r="G12" s="30" t="inlineStr"/>
    </row>
    <row r="13" ht="24" customHeight="1">
      <c r="A13" s="19" t="n">
        <v>7</v>
      </c>
      <c r="B13" s="39" t="inlineStr">
        <is>
          <t>07/02/2026</t>
        </is>
      </c>
      <c r="C13" s="29" t="inlineStr"/>
      <c r="D13" s="29" t="inlineStr"/>
      <c r="E13" s="29" t="inlineStr"/>
      <c r="F13" s="29" t="inlineStr"/>
      <c r="G13" s="30" t="inlineStr"/>
    </row>
    <row r="14" ht="24" customHeight="1">
      <c r="A14" s="19" t="n">
        <v>8</v>
      </c>
      <c r="B14" s="39" t="inlineStr">
        <is>
          <t>09/02/2026</t>
        </is>
      </c>
      <c r="C14" s="29" t="inlineStr"/>
      <c r="D14" s="29" t="inlineStr"/>
      <c r="E14" s="29" t="inlineStr"/>
      <c r="F14" s="29" t="inlineStr"/>
      <c r="G14" s="30" t="inlineStr"/>
    </row>
    <row r="15" ht="24" customHeight="1">
      <c r="A15" s="19" t="n">
        <v>9</v>
      </c>
      <c r="B15" s="39" t="inlineStr">
        <is>
          <t>10/02/2026</t>
        </is>
      </c>
      <c r="C15" s="29" t="inlineStr"/>
      <c r="D15" s="29" t="inlineStr"/>
      <c r="E15" s="29" t="inlineStr"/>
      <c r="F15" s="29" t="inlineStr"/>
      <c r="G15" s="30" t="inlineStr"/>
    </row>
    <row r="16" ht="24" customHeight="1">
      <c r="A16" s="19" t="n">
        <v>10</v>
      </c>
      <c r="B16" s="39" t="inlineStr">
        <is>
          <t>11/02/2026</t>
        </is>
      </c>
      <c r="C16" s="29" t="inlineStr"/>
      <c r="D16" s="29" t="inlineStr"/>
      <c r="E16" s="29" t="inlineStr"/>
      <c r="F16" s="29" t="inlineStr"/>
      <c r="G16" s="30" t="inlineStr"/>
    </row>
    <row r="17" ht="24" customHeight="1">
      <c r="A17" s="19" t="n">
        <v>11</v>
      </c>
      <c r="B17" s="39" t="inlineStr">
        <is>
          <t>12/02/2026</t>
        </is>
      </c>
      <c r="C17" s="29" t="inlineStr"/>
      <c r="D17" s="29" t="inlineStr"/>
      <c r="E17" s="29" t="inlineStr"/>
      <c r="F17" s="29" t="inlineStr"/>
      <c r="G17" s="30" t="inlineStr"/>
    </row>
    <row r="18" ht="24" customHeight="1">
      <c r="A18" s="19" t="n">
        <v>12</v>
      </c>
      <c r="B18" s="39" t="inlineStr">
        <is>
          <t>13/02/2026</t>
        </is>
      </c>
      <c r="C18" s="29" t="inlineStr"/>
      <c r="D18" s="29" t="inlineStr"/>
      <c r="E18" s="29" t="inlineStr"/>
      <c r="F18" s="29" t="inlineStr"/>
      <c r="G18" s="30" t="inlineStr"/>
    </row>
    <row r="20" ht="22" customHeight="1">
      <c r="A20" s="3" t="inlineStr">
        <is>
          <t>Self-check — five counts</t>
        </is>
      </c>
    </row>
    <row r="21">
      <c r="B21" s="27" t="inlineStr">
        <is>
          <t>Rows that land in the wrong month</t>
        </is>
      </c>
      <c r="C21" s="28" t="n"/>
      <c r="D21" s="31">
        <f>COUNTIF(E7:E18,"Wrong month")</f>
        <v/>
      </c>
      <c r="E21" s="19">
        <f>IF(COUNTA(C7:F18)=0,"",IF(COUNTIF(E7:E18,"Wrong month")=10,"✔ pass","✘ fix"))</f>
        <v/>
      </c>
      <c r="F21" s="8" t="inlineStr">
        <is>
          <t>ten of the twelve, and not one of them errors</t>
        </is>
      </c>
      <c r="G21" s="28" t="n"/>
    </row>
    <row r="22">
      <c r="B22" s="27" t="inlineStr">
        <is>
          <t>Rows that are right by accident</t>
        </is>
      </c>
      <c r="C22" s="28" t="n"/>
      <c r="D22" s="31">
        <f>COUNTIF(E7:E18,"Right by luck")</f>
        <v/>
      </c>
      <c r="E22" s="19">
        <f>IF(COUNTA(C7:F18)=0,"",IF(COUNTIF(E7:E18,"Right by luck")=1,"✔ pass","✘ fix"))</f>
        <v/>
      </c>
      <c r="F22" s="8" t="inlineStr">
        <is>
          <t>02/02/2026 — day and month are the same number</t>
        </is>
      </c>
      <c r="G22" s="28" t="n"/>
    </row>
    <row r="23">
      <c r="B23" s="27" t="inlineStr">
        <is>
          <t>Rows that raise an error</t>
        </is>
      </c>
      <c r="C23" s="28" t="n"/>
      <c r="D23" s="31">
        <f>COUNTIF(E7:E18,"Error")</f>
        <v/>
      </c>
      <c r="E23" s="19">
        <f>IF(COUNTA(C7:F18)=0,"",IF(COUNTIF(E7:E18,"Error")=1,"✔ pass","✘ fix"))</f>
        <v/>
      </c>
      <c r="F23" s="8" t="inlineStr">
        <is>
          <t>13/02/2026 — and this one error is what makes the bug findable at all</t>
        </is>
      </c>
      <c r="G23" s="28" t="n"/>
    </row>
    <row r="24">
      <c r="B24" s="27" t="inlineStr">
        <is>
          <t>Rows whose en-US month is February after all</t>
        </is>
      </c>
      <c r="C24" s="28" t="n"/>
      <c r="D24" s="31">
        <f>COUNTIF(F7:F18,"February")</f>
        <v/>
      </c>
      <c r="E24" s="19">
        <f>IF(COUNTA(C7:F18)=0,"",IF(COUNTIF(F7:F18,"February")=1,"✔ pass","✘ fix"))</f>
        <v/>
      </c>
      <c r="F24" s="8" t="inlineStr">
        <is>
          <t>exactly the one lucky row — this cross-checks column F against your verdicts in column E</t>
        </is>
      </c>
      <c r="G24" s="28" t="n"/>
    </row>
    <row r="25">
      <c r="B25" s="27" t="inlineStr">
        <is>
          <t>Rows en-US can read at all — the twelfth errors</t>
        </is>
      </c>
      <c r="C25" s="28" t="n"/>
      <c r="D25" s="31">
        <f>COUNTA(F7:F18)-COUNTIF(F7:F18,"Error")</f>
        <v/>
      </c>
      <c r="E25" s="19">
        <f>IF(COUNTA(C7:F18)=0,"",IF(COUNTA(F7:F18)-COUNTIF(F7:F18,"Error")=11,"✔ pass","✘ fix"))</f>
        <v/>
      </c>
      <c r="F25" s="8" t="inlineStr">
        <is>
          <t>and they land in eleven DIFFERENT months, one row each — January to December with August missing, because nobody shipped on the 8th</t>
        </is>
      </c>
      <c r="G25" s="28" t="n"/>
    </row>
    <row r="26" ht="34" customHeight="1">
      <c r="A26" s="18" t="inlineStr">
        <is>
          <t>Ten wrong, one lucky, one error — and the eleven readable rows spread across 11 different months. The file does not fail, it half-fails, and the single loud error sends you to row 12 while the other ten sit quietly in January, March, April, May and seven other months nobody shipped anything in.</t>
        </is>
      </c>
    </row>
    <row r="28" ht="22" customHeight="1">
      <c r="A28" s="3" t="inlineStr">
        <is>
          <t>Three answers — 6 of the 12 marks</t>
        </is>
      </c>
    </row>
    <row r="29">
      <c r="B29" s="32" t="inlineStr">
        <is>
          <t>Which of the three files is exposed to this, and how many loaded rows does that put at risk?</t>
        </is>
      </c>
      <c r="C29" s="25" t="n"/>
    </row>
    <row r="30" ht="28" customHeight="1">
      <c r="B30" s="33" t="n"/>
      <c r="C30" s="33" t="n"/>
      <c r="D30" s="33" t="n"/>
      <c r="E30" s="33" t="n"/>
      <c r="F30" s="33" t="n"/>
      <c r="G30" s="33" t="n"/>
    </row>
    <row r="31">
      <c r="B31" s="33" t="n"/>
      <c r="C31" s="33" t="n"/>
      <c r="D31" s="33" t="n"/>
      <c r="E31" s="33" t="n"/>
      <c r="F31" s="33" t="n"/>
      <c r="G31" s="33" t="n"/>
    </row>
    <row r="32">
      <c r="B32" s="33" t="n"/>
      <c r="C32" s="33" t="n"/>
      <c r="D32" s="33" t="n"/>
      <c r="E32" s="33" t="n"/>
      <c r="F32" s="33" t="n"/>
      <c r="G32" s="33" t="n"/>
    </row>
    <row r="33">
      <c r="B33" s="32" t="inlineStr">
        <is>
          <t>Both reconciliation totals are exact and every monthly report is still wrong. Explain why the totals cannot catch this.</t>
        </is>
      </c>
      <c r="C33" s="25" t="n"/>
    </row>
    <row r="34" ht="28" customHeight="1">
      <c r="B34" s="33" t="n"/>
      <c r="C34" s="33" t="n"/>
      <c r="D34" s="33" t="n"/>
      <c r="E34" s="33" t="n"/>
      <c r="F34" s="33" t="n"/>
      <c r="G34" s="33" t="n"/>
    </row>
    <row r="35">
      <c r="B35" s="33" t="n"/>
      <c r="C35" s="33" t="n"/>
      <c r="D35" s="33" t="n"/>
      <c r="E35" s="33" t="n"/>
      <c r="F35" s="33" t="n"/>
      <c r="G35" s="33" t="n"/>
    </row>
    <row r="36">
      <c r="B36" s="33" t="n"/>
      <c r="C36" s="33" t="n"/>
      <c r="D36" s="33" t="n"/>
      <c r="E36" s="33" t="n"/>
      <c r="F36" s="33" t="n"/>
      <c r="G36" s="33" t="n"/>
    </row>
    <row r="37">
      <c r="B37" s="32" t="inlineStr">
        <is>
          <t>Name the single click that prevents it, and the check from slide 41 that catches it if you forget.</t>
        </is>
      </c>
      <c r="C37" s="25" t="n"/>
    </row>
    <row r="38" ht="28" customHeight="1">
      <c r="B38" s="33" t="n"/>
      <c r="C38" s="33" t="n"/>
      <c r="D38" s="33" t="n"/>
      <c r="E38" s="33" t="n"/>
      <c r="F38" s="33" t="n"/>
      <c r="G38" s="33" t="n"/>
    </row>
    <row r="39">
      <c r="B39" s="33" t="n"/>
      <c r="C39" s="33" t="n"/>
      <c r="D39" s="33" t="n"/>
      <c r="E39" s="33" t="n"/>
      <c r="F39" s="33" t="n"/>
      <c r="G39" s="33" t="n"/>
    </row>
    <row r="40">
      <c r="B40" s="33" t="n"/>
      <c r="C40" s="33" t="n"/>
      <c r="D40" s="33" t="n"/>
      <c r="E40" s="33" t="n"/>
      <c r="F40" s="33" t="n"/>
      <c r="G40" s="33" t="n"/>
    </row>
    <row r="41">
      <c r="B41" s="33" t="n"/>
      <c r="C41" s="33" t="n"/>
      <c r="D41" s="33" t="n"/>
      <c r="E41" s="33" t="n"/>
      <c r="F41" s="33" t="n"/>
      <c r="G41" s="33" t="n"/>
    </row>
  </sheetData>
  <mergeCells count="22">
    <mergeCell ref="B25:C25"/>
    <mergeCell ref="F25:G25"/>
    <mergeCell ref="C33:G33"/>
    <mergeCell ref="A4:G4"/>
    <mergeCell ref="A20:G20"/>
    <mergeCell ref="B22:C22"/>
    <mergeCell ref="A28:G28"/>
    <mergeCell ref="F21:G21"/>
    <mergeCell ref="C29:G29"/>
    <mergeCell ref="B21:C21"/>
    <mergeCell ref="F24:G24"/>
    <mergeCell ref="B23:C23"/>
    <mergeCell ref="B34:G36"/>
    <mergeCell ref="B30:G32"/>
    <mergeCell ref="A1:G1"/>
    <mergeCell ref="F23:G23"/>
    <mergeCell ref="F22:G22"/>
    <mergeCell ref="B38:G41"/>
    <mergeCell ref="B24:C24"/>
    <mergeCell ref="A26:G26"/>
    <mergeCell ref="A2:G2"/>
    <mergeCell ref="C37:G37"/>
  </mergeCells>
  <dataValidations count="1">
    <dataValidation sqref="E7:E18" showDropDown="0" showInputMessage="0" showErrorMessage="0" allowBlank="1" type="list">
      <formula1>"Right by luck,Wrong month,Error"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5" customWidth="1" min="1" max="1"/>
    <col width="54" customWidth="1" min="2" max="2"/>
    <col width="14" customWidth="1" min="3" max="3"/>
    <col width="22" customWidth="1" min="4" max="4"/>
    <col width="56" customWidth="1" min="5" max="5"/>
    <col width="10" customWidth="1" min="6" max="6"/>
    <col width="10" customWidth="1" min="7" max="7"/>
  </cols>
  <sheetData>
    <row r="1" ht="30" customHeight="1">
      <c r="A1" s="1" t="inlineStr">
        <is>
          <t>T6 · Loud Or Quiet — 12 marks</t>
        </is>
      </c>
    </row>
    <row r="2" ht="30" customHeight="1">
      <c r="A2" s="2" t="inlineStr">
        <is>
          <t>Six failures. For each: does it fail loudly or quietly, which of the eight checks would catch it, and what makes it safe. One mark for the classification, one for the check.</t>
        </is>
      </c>
    </row>
    <row r="4" ht="84" customHeight="1">
      <c r="A4" s="4" t="inlineStr">
        <is>
          <t>A loud failure stops the run: a job goes red, somebody is paged, the warehouse is unchanged, and the 08:00 report shows yesterday's number with a stale-as-of stamp on it. Embarrassing, bounded, fixable before anyone trades on it.
A quiet failure succeeds. Eleven rows went to Unknown, one region is missing, the dates landed in the wrong month, and the dashboard is green. Nobody finds out until a quarter closes.
You want the loud one — that part is obvious. The part that is not is the last question on this sheet.</t>
        </is>
      </c>
    </row>
    <row r="6" ht="32" customHeight="1">
      <c r="A6" s="5" t="inlineStr">
        <is>
          <t>#</t>
        </is>
      </c>
      <c r="B6" s="5" t="inlineStr">
        <is>
          <t>The accident, or the defect</t>
        </is>
      </c>
      <c r="C6" s="5" t="inlineStr">
        <is>
          <t>Loud or quiet</t>
        </is>
      </c>
      <c r="D6" s="5" t="inlineStr">
        <is>
          <t>Which check catches it</t>
        </is>
      </c>
      <c r="E6" s="5" t="inlineStr">
        <is>
          <t>What makes it safe</t>
        </is>
      </c>
      <c r="F6" s="5" t="inlineStr"/>
      <c r="G6" s="5" t="inlineStr"/>
    </row>
    <row r="7" ht="44" customHeight="1">
      <c r="A7" s="19" t="n">
        <v>1</v>
      </c>
      <c r="B7" s="16" t="inlineStr">
        <is>
          <t>The nightly run never fired on Tuesday</t>
        </is>
      </c>
      <c r="C7" s="29" t="inlineStr"/>
      <c r="D7" s="33" t="inlineStr"/>
      <c r="E7" s="33" t="inlineStr"/>
    </row>
    <row r="8" ht="44" customHeight="1">
      <c r="A8" s="19" t="n">
        <v>2</v>
      </c>
      <c r="B8" s="16" t="inlineStr">
        <is>
          <t>The same run fired twice, loading with a bare insert</t>
        </is>
      </c>
      <c r="C8" s="29" t="inlineStr"/>
      <c r="D8" s="33" t="inlineStr"/>
      <c r="E8" s="33" t="inlineStr"/>
    </row>
    <row r="9" ht="44" customHeight="1">
      <c r="A9" s="19" t="n">
        <v>3</v>
      </c>
      <c r="B9" s="16" t="inlineStr">
        <is>
          <t>The file was still being written when extract read it</t>
        </is>
      </c>
      <c r="C9" s="29" t="inlineStr"/>
      <c r="D9" s="33" t="inlineStr"/>
      <c r="E9" s="33" t="inlineStr"/>
    </row>
    <row r="10" ht="44" customHeight="1">
      <c r="A10" s="19" t="n">
        <v>4</v>
      </c>
      <c r="B10" s="16" t="inlineStr">
        <is>
          <t>Change Type was used instead of Using Locale on the marine dates</t>
        </is>
      </c>
      <c r="C10" s="29" t="inlineStr"/>
      <c r="D10" s="33" t="inlineStr"/>
      <c r="E10" s="33" t="inlineStr"/>
    </row>
    <row r="11" ht="44" customHeight="1">
      <c r="A11" s="19" t="n">
        <v>5</v>
      </c>
      <c r="B11" s="16" t="inlineStr">
        <is>
          <t>The status column was never trimmed or cased</t>
        </is>
      </c>
      <c r="C11" s="29" t="inlineStr"/>
      <c r="D11" s="33" t="inlineStr"/>
      <c r="E11" s="33" t="inlineStr"/>
    </row>
    <row r="12" ht="44" customHeight="1">
      <c r="A12" s="19" t="n">
        <v>6</v>
      </c>
      <c r="B12" s="16" t="inlineStr">
        <is>
          <t>A later step still names a column an earlier step renamed</t>
        </is>
      </c>
      <c r="C12" s="29" t="inlineStr"/>
      <c r="D12" s="33" t="inlineStr"/>
      <c r="E12" s="33" t="inlineStr"/>
    </row>
    <row r="14" ht="22" customHeight="1">
      <c r="A14" s="3" t="inlineStr">
        <is>
          <t>Self-check</t>
        </is>
      </c>
    </row>
    <row r="15">
      <c r="B15" s="27" t="inlineStr">
        <is>
          <t>Failures that are loud</t>
        </is>
      </c>
      <c r="C15" s="31">
        <f>COUNTIF(C7:C12,"Loud")</f>
        <v/>
      </c>
      <c r="D15" s="19">
        <f>IF(COUNTA(C7:C12)=0,"",IF(COUNTIF(C7:C12,"Loud")=1,"✔ pass","✘ fix"))</f>
        <v/>
      </c>
      <c r="E15" s="28" t="n"/>
    </row>
    <row r="16">
      <c r="B16" s="27" t="inlineStr">
        <is>
          <t>Failures that are quiet</t>
        </is>
      </c>
      <c r="C16" s="31">
        <f>COUNTIF(C7:C12,"Quiet")</f>
        <v/>
      </c>
      <c r="D16" s="19">
        <f>IF(COUNTA(C7:C12)=0,"",IF(COUNTIF(C7:C12,"Quiet")=4,"✔ pass","✘ fix"))</f>
        <v/>
      </c>
      <c r="E16" s="28" t="n"/>
    </row>
    <row r="17">
      <c r="B17" s="27" t="inlineStr">
        <is>
          <t>Failures that are both</t>
        </is>
      </c>
      <c r="C17" s="31">
        <f>COUNTIF(C7:C12,"Both")</f>
        <v/>
      </c>
      <c r="D17" s="19">
        <f>IF(COUNTA(C7:C12)=0,"",IF(COUNTIF(C7:C12,"Both")=1,"✔ pass","✘ fix"))</f>
        <v/>
      </c>
      <c r="E17" s="28" t="n"/>
    </row>
    <row r="18" ht="30" customHeight="1">
      <c r="A18" s="18" t="inlineStr">
        <is>
          <t>Only 1 of the six is loud, and it is the one that cannot be ignored: a step naming a column an earlier step renamed. Notice what that means — the failure you have no work to do about is the only one that was already safe.</t>
        </is>
      </c>
    </row>
    <row r="20" ht="22" customHeight="1">
      <c r="A20" s="3" t="inlineStr">
        <is>
          <t>The answer that is not the obvious one — 4 of the 12 marks</t>
        </is>
      </c>
    </row>
    <row r="21">
      <c r="B21" s="32" t="inlineStr">
        <is>
          <t>Everybody says they would rather have the loud failure. Say what follows from that about where the engineering effort in a pipeline actually goes.</t>
        </is>
      </c>
      <c r="C21" s="25" t="n"/>
    </row>
    <row r="22" ht="28" customHeight="1">
      <c r="B22" s="33" t="n"/>
      <c r="C22" s="33" t="n"/>
      <c r="D22" s="33" t="n"/>
      <c r="E22" s="33" t="n"/>
      <c r="F22" s="33" t="n"/>
      <c r="G22" s="33" t="n"/>
    </row>
    <row r="23">
      <c r="B23" s="33" t="n"/>
      <c r="C23" s="33" t="n"/>
      <c r="D23" s="33" t="n"/>
      <c r="E23" s="33" t="n"/>
      <c r="F23" s="33" t="n"/>
      <c r="G23" s="33" t="n"/>
    </row>
    <row r="24">
      <c r="B24" s="33" t="n"/>
      <c r="C24" s="33" t="n"/>
      <c r="D24" s="33" t="n"/>
      <c r="E24" s="33" t="n"/>
      <c r="F24" s="33" t="n"/>
      <c r="G24" s="33" t="n"/>
    </row>
    <row r="25">
      <c r="B25" s="33" t="n"/>
      <c r="C25" s="33" t="n"/>
      <c r="D25" s="33" t="n"/>
      <c r="E25" s="33" t="n"/>
      <c r="F25" s="33" t="n"/>
      <c r="G25" s="33" t="n"/>
    </row>
  </sheetData>
  <mergeCells count="11">
    <mergeCell ref="A14:G14"/>
    <mergeCell ref="D16:E16"/>
    <mergeCell ref="C21:G21"/>
    <mergeCell ref="A1:G1"/>
    <mergeCell ref="A18:G18"/>
    <mergeCell ref="D15:E15"/>
    <mergeCell ref="A4:G4"/>
    <mergeCell ref="B22:G25"/>
    <mergeCell ref="A20:G20"/>
    <mergeCell ref="A2:G2"/>
    <mergeCell ref="D17:E17"/>
  </mergeCells>
  <dataValidations count="1">
    <dataValidation sqref="C7:C12" showDropDown="0" showInputMessage="0" showErrorMessage="0" allowBlank="1" type="list">
      <formula1>"Loud,Quiet,Both"</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5" customWidth="1" min="1" max="1"/>
    <col width="44" customWidth="1" min="2" max="2"/>
    <col width="15" customWidth="1" min="3" max="3"/>
    <col width="13" customWidth="1" min="4" max="4"/>
    <col width="11" customWidth="1" min="5" max="5"/>
    <col width="34" customWidth="1" min="6" max="6"/>
    <col width="38" customWidth="1" min="7" max="7"/>
  </cols>
  <sheetData>
    <row r="1" ht="30" customHeight="1">
      <c r="A1" s="1" t="inlineStr">
        <is>
          <t>T7 · Definition Of Done — 12 marks</t>
        </is>
      </c>
    </row>
    <row r="2" ht="30" customHeight="1">
      <c r="A2" s="2" t="inlineStr">
        <is>
          <t>Eight checks. Refresh your model, read each number off it, and type it in. All eight must read “pass”. Submitting with a single “✘ fix” loses all 12 marks for this task.</t>
        </is>
      </c>
    </row>
    <row r="4" ht="58" customHeight="1">
      <c r="A4" s="4" t="inlineStr">
        <is>
          <t>Checks 1 to 4 catch the defects that reconciliation cannot see. Checks 5 to 8 catch the ones it can. You need both halves, and checks 7 and 8 are the two weakest on the sheet — a locale bug and a status casing bug both pass them perfectly.
Work them in order. If 7 fails, fix 2 and 5 first; they cause it.</t>
        </is>
      </c>
    </row>
    <row r="6" ht="32" customHeight="1">
      <c r="A6" s="5" t="inlineStr">
        <is>
          <t>#</t>
        </is>
      </c>
      <c r="B6" s="5" t="inlineStr">
        <is>
          <t>The check</t>
        </is>
      </c>
      <c r="C6" s="5" t="inlineStr">
        <is>
          <t>Your model reads</t>
        </is>
      </c>
      <c r="D6" s="5" t="inlineStr">
        <is>
          <t>Expected</t>
        </is>
      </c>
      <c r="E6" s="5" t="inlineStr">
        <is>
          <t>Pass?</t>
        </is>
      </c>
      <c r="F6" s="5" t="inlineStr">
        <is>
          <t>How you verify it</t>
        </is>
      </c>
      <c r="G6" s="5" t="inlineStr">
        <is>
          <t>If it fails</t>
        </is>
      </c>
    </row>
    <row r="7" ht="30" customHeight="1">
      <c r="A7" s="19" t="n">
        <v>1</v>
      </c>
      <c r="B7" s="16" t="inlineStr">
        <is>
          <t>Contract columns in each of the three queries</t>
        </is>
      </c>
      <c r="C7" s="35" t="n"/>
      <c r="D7" s="40" t="n">
        <v>7</v>
      </c>
      <c r="E7" s="19">
        <f>IF(C7="","",IF(C7=D7,"✔ pass","✘ fix"))</f>
        <v/>
      </c>
      <c r="F7" s="8" t="inlineStr">
        <is>
          <t>read the column headers in each query</t>
        </is>
      </c>
      <c r="G7" s="8" t="inlineStr">
        <is>
          <t>a missed rename — the append would carry the damage</t>
        </is>
      </c>
    </row>
    <row r="8" ht="30" customHeight="1">
      <c r="A8" s="19" t="n">
        <v>2</v>
      </c>
      <c r="B8" s="16" t="inlineStr">
        <is>
          <t>Rail subtotal in kilograms</t>
        </is>
      </c>
      <c r="C8" s="35" t="n"/>
      <c r="D8" s="40" t="n">
        <v>295250</v>
      </c>
      <c r="E8" s="19">
        <f>IF(C8="","",IF(C8=D8,"✔ pass","✘ fix"))</f>
        <v/>
      </c>
      <c r="F8" s="8" t="inlineStr">
        <is>
          <t>filter ModeKey = 2, read SUM(WeightKG)</t>
        </is>
      </c>
      <c r="G8" s="8" t="inlineStr">
        <is>
          <t>the x1,000 step missing, or run after the append</t>
        </is>
      </c>
    </row>
    <row r="9" ht="30" customHeight="1">
      <c r="A9" s="19" t="n">
        <v>3</v>
      </c>
      <c r="B9" s="16" t="inlineStr">
        <is>
          <t>Distinct values in StatusRaw</t>
        </is>
      </c>
      <c r="C9" s="35" t="n"/>
      <c r="D9" s="40" t="n">
        <v>3</v>
      </c>
      <c r="E9" s="19">
        <f>IF(C9="","",IF(C9=D9,"✔ pass","✘ fix"))</f>
        <v/>
      </c>
      <c r="F9" s="8" t="inlineStr">
        <is>
          <t>put it in a slicer and count the entries</t>
        </is>
      </c>
      <c r="G9" s="8" t="inlineStr">
        <is>
          <t>trim, clean or Proper Case missing</t>
        </is>
      </c>
    </row>
    <row r="10" ht="30" customHeight="1">
      <c r="A10" s="19" t="n">
        <v>4</v>
      </c>
      <c r="B10" s="16" t="inlineStr">
        <is>
          <t>Latest day in ShipDate (day of February 2026)</t>
        </is>
      </c>
      <c r="C10" s="35" t="n"/>
      <c r="D10" s="40" t="n">
        <v>13</v>
      </c>
      <c r="E10" s="19">
        <f>IF(C10="","",IF(C10=D10,"✔ pass","✘ fix"))</f>
        <v/>
      </c>
      <c r="F10" s="8" t="inlineStr">
        <is>
          <t>put ShipDate in a slicer and read the range</t>
        </is>
      </c>
      <c r="G10" s="8" t="inlineStr">
        <is>
          <t>Change Type used instead of Using Locale</t>
        </is>
      </c>
    </row>
    <row r="11" ht="30" customHeight="1">
      <c r="A11" s="19" t="n">
        <v>5</v>
      </c>
      <c r="B11" s="16" t="inlineStr">
        <is>
          <t>Rows in FactShipment</t>
        </is>
      </c>
      <c r="C11" s="35" t="n"/>
      <c r="D11" s="40" t="n">
        <v>34</v>
      </c>
      <c r="E11" s="19">
        <f>IF(C11="","",IF(C11=D11,"✔ pass","✘ fix"))</f>
        <v/>
      </c>
      <c r="F11" s="8" t="inlineStr">
        <is>
          <t>a card visual with COUNTROWS</t>
        </is>
      </c>
      <c r="G11" s="8" t="inlineStr">
        <is>
          <t>the blank row, the TOTAL row or the duplicate survived</t>
        </is>
      </c>
    </row>
    <row r="12" ht="30" customHeight="1">
      <c r="A12" s="19" t="n">
        <v>6</v>
      </c>
      <c r="B12" s="16" t="inlineStr">
        <is>
          <t>Rows that took a -1 key</t>
        </is>
      </c>
      <c r="C12" s="35" t="n"/>
      <c r="D12" s="40" t="n">
        <v>0</v>
      </c>
      <c r="E12" s="19">
        <f>IF(C12="","",IF(C12=D12,"✔ pass","✘ fix"))</f>
        <v/>
      </c>
      <c r="F12" s="8" t="inlineStr">
        <is>
          <t>slice by each key and count the Unknown member</t>
        </is>
      </c>
      <c r="G12" s="8" t="inlineStr">
        <is>
          <t>an inner join, or the null -&gt; -1 replace missing</t>
        </is>
      </c>
    </row>
    <row r="13" ht="30" customHeight="1">
      <c r="A13" s="19" t="n">
        <v>7</v>
      </c>
      <c r="B13" s="16" t="inlineStr">
        <is>
          <t>SUM(WeightKG)</t>
        </is>
      </c>
      <c r="C13" s="35" t="n"/>
      <c r="D13" s="40" t="n">
        <v>578650</v>
      </c>
      <c r="E13" s="19">
        <f>IF(C13="","",IF(C13=D13,"✔ pass","✘ fix"))</f>
        <v/>
      </c>
      <c r="F13" s="8" t="inlineStr">
        <is>
          <t>one card visual, no filters</t>
        </is>
      </c>
      <c r="G13" s="8" t="inlineStr">
        <is>
          <t>work checks 2 and 5 first — they cause this one</t>
        </is>
      </c>
    </row>
    <row r="14" ht="30" customHeight="1">
      <c r="A14" s="19" t="n">
        <v>8</v>
      </c>
      <c r="B14" s="16" t="inlineStr">
        <is>
          <t>SUM(FreightCostPKR)</t>
        </is>
      </c>
      <c r="C14" s="35" t="n"/>
      <c r="D14" s="40" t="n">
        <v>4808000</v>
      </c>
      <c r="E14" s="19">
        <f>IF(C14="","",IF(C14=D14,"✔ pass","✘ fix"))</f>
        <v/>
      </c>
      <c r="F14" s="8" t="inlineStr">
        <is>
          <t>one card visual, no filters</t>
        </is>
      </c>
      <c r="G14" s="8" t="inlineStr">
        <is>
          <t>same causes as 7, in the same order</t>
        </is>
      </c>
    </row>
    <row r="16">
      <c r="B16" s="36" t="inlineStr">
        <is>
          <t>CHECKS PASSING</t>
        </is>
      </c>
      <c r="C16" s="6">
        <f>COUNTIF(E7:E14,"✔ pass")</f>
        <v/>
      </c>
      <c r="D16" s="6" t="inlineStr">
        <is>
          <t>of 8</t>
        </is>
      </c>
      <c r="E16" s="19">
        <f>IF(COUNTA(C7:C14)=0,"",IF(COUNTIF(E7:E14,"✔ pass")=8,"✔ pass","✘ fix"))</f>
        <v/>
      </c>
      <c r="F16" s="41" t="inlineStr">
        <is>
          <t>Eight of eight, or the task scores zero.</t>
        </is>
      </c>
    </row>
    <row r="18" ht="22" customHeight="1">
      <c r="A18" s="3" t="inlineStr">
        <is>
          <t>Check 6 is the character question — slide 43</t>
        </is>
      </c>
    </row>
    <row r="19" ht="40" customHeight="1">
      <c r="A19" s="18" t="inlineStr">
        <is>
          <t>Check 6 expects 0 on tonight's files, and that is the trap. Zero is the right answer here only because the alias map already covers all 23 spellings these three files contain. It is not a law of nature, and “0” typed without looking is the same answer as “0” typed after looking. Say how you know.</t>
        </is>
      </c>
    </row>
    <row r="20">
      <c r="B20" s="32" t="inlineStr">
        <is>
          <t>How do you know your −1 count is 0 rather than assuming it? And what does the same pipeline report on the night-two file?</t>
        </is>
      </c>
      <c r="C20" s="25" t="n"/>
    </row>
    <row r="21" ht="28" customHeight="1">
      <c r="B21" s="33" t="n"/>
      <c r="C21" s="33" t="n"/>
      <c r="D21" s="33" t="n"/>
      <c r="E21" s="33" t="n"/>
      <c r="F21" s="33" t="n"/>
      <c r="G21" s="33" t="n"/>
    </row>
    <row r="22">
      <c r="B22" s="33" t="n"/>
      <c r="C22" s="33" t="n"/>
      <c r="D22" s="33" t="n"/>
      <c r="E22" s="33" t="n"/>
      <c r="F22" s="33" t="n"/>
      <c r="G22" s="33" t="n"/>
    </row>
    <row r="23">
      <c r="B23" s="33" t="n"/>
      <c r="C23" s="33" t="n"/>
      <c r="D23" s="33" t="n"/>
      <c r="E23" s="33" t="n"/>
      <c r="F23" s="33" t="n"/>
      <c r="G23" s="33" t="n"/>
    </row>
    <row r="24">
      <c r="B24" s="33" t="n"/>
      <c r="C24" s="33" t="n"/>
      <c r="D24" s="33" t="n"/>
      <c r="E24" s="33" t="n"/>
      <c r="F24" s="33" t="n"/>
      <c r="G24" s="33" t="n"/>
    </row>
    <row r="25">
      <c r="B25" s="33" t="n"/>
      <c r="C25" s="33" t="n"/>
      <c r="D25" s="33" t="n"/>
      <c r="E25" s="33" t="n"/>
      <c r="F25" s="33" t="n"/>
      <c r="G25" s="33" t="n"/>
    </row>
    <row r="27" ht="22" customHeight="1">
      <c r="A27" s="3" t="inlineStr">
        <is>
          <t>Part B · The refresh test — the whole point of the week</t>
        </is>
      </c>
    </row>
    <row r="28" ht="58" customHeight="1">
      <c r="A28" s="4" t="inlineStr">
        <is>
          <t>Point your three queries at data/source/night2 and press Refresh. Nothing should need fixing. That folder holds the same marine and rail files and a road file you have never seen: it has an extra consignment, a second copy of RD-508 that differs from the first by one trailing space, a status typed as '  DELAYED  ', and a shipment from a city no alias resolves. Fill in what your refreshed model reports.</t>
        </is>
      </c>
    </row>
    <row r="29" ht="32" customHeight="1">
      <c r="A29" s="5" t="inlineStr">
        <is>
          <t>#</t>
        </is>
      </c>
      <c r="B29" s="5" t="inlineStr">
        <is>
          <t>After refreshing against night2</t>
        </is>
      </c>
      <c r="C29" s="5" t="inlineStr">
        <is>
          <t>Your model reads</t>
        </is>
      </c>
      <c r="D29" s="5" t="inlineStr">
        <is>
          <t>Expected</t>
        </is>
      </c>
      <c r="E29" s="5" t="inlineStr">
        <is>
          <t>Pass?</t>
        </is>
      </c>
      <c r="F29" s="5" t="inlineStr">
        <is>
          <t>What it is testing</t>
        </is>
      </c>
      <c r="G29" s="5" t="inlineStr"/>
    </row>
    <row r="30" ht="26" customHeight="1">
      <c r="A30" s="19" t="n">
        <v>1</v>
      </c>
      <c r="B30" s="16" t="inlineStr">
        <is>
          <t>Rows in FactShipment</t>
        </is>
      </c>
      <c r="C30" s="35" t="n"/>
      <c r="D30" s="40" t="n">
        <v>35</v>
      </c>
      <c r="E30" s="19">
        <f>IF(C30="","",IF(C30=D30,"✔ pass","✘ fix"))</f>
        <v/>
      </c>
      <c r="F30" s="8" t="inlineStr">
        <is>
          <t>the dedup rule survived a duplicate that is not byte-identical</t>
        </is>
      </c>
      <c r="G30" s="28" t="n"/>
    </row>
    <row r="31" ht="26" customHeight="1">
      <c r="A31" s="19" t="n">
        <v>2</v>
      </c>
      <c r="B31" s="16" t="inlineStr">
        <is>
          <t>SUM(WeightKG)</t>
        </is>
      </c>
      <c r="C31" s="35" t="n"/>
      <c r="D31" s="40" t="n">
        <v>584950</v>
      </c>
      <c r="E31" s="19">
        <f>IF(C31="","",IF(C31=D31,"✔ pass","✘ fix"))</f>
        <v/>
      </c>
      <c r="F31" s="8" t="inlineStr">
        <is>
          <t>every per-source step replayed on a file it had never seen</t>
        </is>
      </c>
      <c r="G31" s="28" t="n"/>
    </row>
    <row r="32" ht="26" customHeight="1">
      <c r="A32" s="19" t="n">
        <v>3</v>
      </c>
      <c r="B32" s="16" t="inlineStr">
        <is>
          <t>SUM(FreightCostPKR)</t>
        </is>
      </c>
      <c r="C32" s="35" t="n"/>
      <c r="D32" s="40" t="n">
        <v>4860000</v>
      </c>
      <c r="E32" s="19">
        <f>IF(C32="","",IF(C32=D32,"✔ pass","✘ fix"))</f>
        <v/>
      </c>
      <c r="F32" s="8" t="inlineStr">
        <is>
          <t>the same, for the second fact</t>
        </is>
      </c>
      <c r="G32" s="28" t="n"/>
    </row>
    <row r="33" ht="26" customHeight="1">
      <c r="A33" s="19" t="n">
        <v>4</v>
      </c>
      <c r="B33" s="16" t="inlineStr">
        <is>
          <t>Distinct values in StatusRaw</t>
        </is>
      </c>
      <c r="C33" s="35" t="n"/>
      <c r="D33" s="40" t="n">
        <v>3</v>
      </c>
      <c r="E33" s="19">
        <f>IF(C33="","",IF(C33=D33,"✔ pass","✘ fix"))</f>
        <v/>
      </c>
      <c r="F33" s="8" t="inlineStr">
        <is>
          <t>'  DELAYED  ' was trimmed and cased without you touching a step</t>
        </is>
      </c>
      <c r="G33" s="28" t="n"/>
    </row>
    <row r="34" ht="26" customHeight="1">
      <c r="A34" s="19" t="n">
        <v>5</v>
      </c>
      <c r="B34" s="16" t="inlineStr">
        <is>
          <t>Rows carrying a −1 city key</t>
        </is>
      </c>
      <c r="C34" s="35" t="n"/>
      <c r="D34" s="40" t="n">
        <v>1</v>
      </c>
      <c r="E34" s="19">
        <f>IF(C34="","",IF(C34=D34,"✔ pass","✘ fix"))</f>
        <v/>
      </c>
      <c r="F34" s="8" t="inlineStr">
        <is>
          <t>the left outer join kept the row instead of dropping it</t>
        </is>
      </c>
      <c r="G34" s="28" t="n"/>
    </row>
    <row r="35" ht="26" customHeight="1">
      <c r="A35" s="19" t="n">
        <v>6</v>
      </c>
      <c r="B35" s="16" t="inlineStr">
        <is>
          <t>Rows with status Delayed</t>
        </is>
      </c>
      <c r="C35" s="35" t="n"/>
      <c r="D35" s="40" t="n">
        <v>5</v>
      </c>
      <c r="E35" s="19">
        <f>IF(C35="","",IF(C35=D35,"✔ pass","✘ fix"))</f>
        <v/>
      </c>
      <c r="F35" s="8" t="inlineStr">
        <is>
          <t>four last night, five tonight — the breakdown moved, correctly</t>
        </is>
      </c>
      <c r="G35" s="28" t="n"/>
    </row>
    <row r="36">
      <c r="B36" s="36" t="inlineStr">
        <is>
          <t>REFRESH CHECKS PASSING</t>
        </is>
      </c>
      <c r="C36" s="6">
        <f>COUNTIF(E30:E35,"✔ pass")</f>
        <v/>
      </c>
      <c r="D36" s="6" t="inlineStr">
        <is>
          <t>of 6</t>
        </is>
      </c>
      <c r="E36" s="19">
        <f>IF(COUNTA(C30:C35)=0,"",IF(COUNTIF(E30:E35,"✔ pass")=6,"✔ pass","✘ fix"))</f>
        <v/>
      </c>
    </row>
    <row r="37" ht="34" customHeight="1">
      <c r="A37" s="18" t="inlineStr">
        <is>
          <t>If you get 36 rows and 591,550 kg, you deduplicated before you trimmed and the second RD-508 survived on a trailing space. That is the constraint from T3, arriving as a number. Nothing on tonight's file would ever have told you.</t>
        </is>
      </c>
    </row>
  </sheetData>
  <mergeCells count="17">
    <mergeCell ref="A1:G1"/>
    <mergeCell ref="C20:G20"/>
    <mergeCell ref="A18:G18"/>
    <mergeCell ref="A27:G27"/>
    <mergeCell ref="F16:G16"/>
    <mergeCell ref="F30:G30"/>
    <mergeCell ref="F34:G34"/>
    <mergeCell ref="A4:G4"/>
    <mergeCell ref="F33:G33"/>
    <mergeCell ref="F31:G31"/>
    <mergeCell ref="A2:G2"/>
    <mergeCell ref="B21:G25"/>
    <mergeCell ref="F32:G32"/>
    <mergeCell ref="A19:G19"/>
    <mergeCell ref="F35:G35"/>
    <mergeCell ref="A28:G2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2026-10-23T21:32:00Z</dcterms:created>
  <dcterms:modified xmlns:dcterms="http://purl.org/dc/terms/" xmlns:xsi="http://www.w3.org/2001/XMLSchema-instance" xsi:type="dcterms:W3CDTF">2026-10-23T21:32:00Z</dcterms:modified>
</cp:coreProperties>
</file>