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1e7dcf64b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6f2d48453694738"/>
    <x:sheet xmlns:r="http://schemas.openxmlformats.org/officeDocument/2006/relationships" name="Marine_Raw" sheetId="2" r:id="Rdb264a6939054f26"/>
    <x:sheet xmlns:r="http://schemas.openxmlformats.org/officeDocument/2006/relationships" name="Rail_Raw" sheetId="3" r:id="Rb3d04f938d0c4e0d"/>
    <x:sheet xmlns:r="http://schemas.openxmlformats.org/officeDocument/2006/relationships" name="Road_Raw" sheetId="4" r:id="R15852d4807e94b3e"/>
    <x:sheet xmlns:r="http://schemas.openxmlformats.org/officeDocument/2006/relationships" name="T1 Detective" sheetId="5" r:id="Re9aa264bf28e418f"/>
    <x:sheet xmlns:r="http://schemas.openxmlformats.org/officeDocument/2006/relationships" name="T2 Stovepipes" sheetId="6" r:id="R53e0993355484519"/>
    <x:sheet xmlns:r="http://schemas.openxmlformats.org/officeDocument/2006/relationships" name="T3a Marine_Stg" sheetId="7" r:id="Rdb82c7f714aa4c4d"/>
    <x:sheet xmlns:r="http://schemas.openxmlformats.org/officeDocument/2006/relationships" name="T3b Rail_Stg" sheetId="8" r:id="R84f50196b5e14a20"/>
    <x:sheet xmlns:r="http://schemas.openxmlformats.org/officeDocument/2006/relationships" name="T3c Road_Stg" sheetId="9" r:id="Rfe6c6541e4534a02"/>
    <x:sheet xmlns:r="http://schemas.openxmlformats.org/officeDocument/2006/relationships" name="T4 Reconcile" sheetId="10" r:id="R38792cd5050940fc"/>
    <x:sheet xmlns:r="http://schemas.openxmlformats.org/officeDocument/2006/relationships" name="T5 Lineage" sheetId="11" r:id="Rc11a54838dcd42b5"/>
    <x:sheet xmlns:r="http://schemas.openxmlformats.org/officeDocument/2006/relationships" name="T6 Bus Matrix" sheetId="12" r:id="R58064e962ddc4ccb"/>
    <x:sheet xmlns:r="http://schemas.openxmlformats.org/officeDocument/2006/relationships" name="T7 Inmon or Kimball" sheetId="13" r:id="R49e46d0f08aa4876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C9" authorId="0">
      <x:text>
        <x:r>
          <x:t>Hard-coded: the official total from the lab files (slides 17 &amp; 39). Task 4 proves it.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<x:sst xmlns:x="http://schemas.openxmlformats.org/spreadsheetml/2006/main">
  <x:si>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PakFreight Data Detective — Week 2 Activity</x:t>
  </x:si>
  <x:si>
    <x:t xml:space="preserve">Data Warehousing &amp; BI · Week 2 — DW Lifecycle &amp; Architecture. PakFreight has three shipment systems (Marine, Rail, Road). Every department reports a different total tonnage. Your team will find out why, fix it in a staging area, and prove the one true number.</x:t>
  </x:si>
  <x:si>
    <x:t xml:space="preserve">How to work</x:t>
  </x:si>
  <x:si>
    <x:t xml:space="preserve">•</x:t>
  </x:si>
  <x:si>
    <x:t xml:space="preserve">Work in teams of 3. Name one person each: Operations, Finance, Sales (needed in Task 2).</x:t>
  </x:si>
  <x:si>
    <x:t xml:space="preserve">Do the tasks in order — each tab is named T1, T2 … The minutes are a guide; your teacher will call time.</x:t>
  </x:si>
  <x:si>
    <x:t xml:space="preserve">Only type in YELLOW cells. GREY cells are raw data as received — never edit them (that is the point of staging!).</x:t>
  </x:si>
  <x:si>
    <x:t xml:space="preserve">Task 4 checks your work automatically: every ✘ means something in Task 3 is still wrong.</x:t>
  </x:si>
  <x:si>
    <x:t xml:space="preserve">Task 8 (draw Inmon vs Kimball) is done on paper — see the slide 'Your Turn: Draw Both Architectures'.</x:t>
  </x:si>
  <x:si>
    <x:t xml:space="preserve">Save the file as Team_&lt;number&gt;.xlsx and submit it with a photo of your drawing.</x:t>
  </x:si>
  <x:si>
    <x:t xml:space="preserve">Plan</x:t>
  </x:si>
  <x:si>
    <x:t xml:space="preserve">#</x:t>
  </x:si>
  <x:si>
    <x:t xml:space="preserve">Task</x:t>
  </x:si>
  <x:si>
    <x:t xml:space="preserve">Tab</x:t>
  </x:si>
  <x:si>
    <x:t xml:space="preserve">60-min class</x:t>
  </x:si>
  <x:si>
    <x:t xml:space="preserve">45-min class</x:t>
  </x:si>
  <x:si>
    <x:t xml:space="preserve">Concept from the slides</x:t>
  </x:si>
  <x:si>
    <x:t xml:space="preserve">0</x:t>
  </x:si>
  <x:si>
    <x:t xml:space="preserve">Teacher intro: the '3 different totals' problem</x:t>
  </x:si>
  <x:si>
    <x:t xml:space="preserve">—</x:t>
  </x:si>
  <x:si>
    <x:t xml:space="preserve">Slide 17 stovepipes</x:t>
  </x:si>
  <x:si>
    <x:t xml:space="preserve">1</x:t>
  </x:si>
  <x:si>
    <x:t xml:space="preserve">Data Detective — log every problem in the raw files</x:t>
  </x:si>
  <x:si>
    <x:t xml:space="preserve">T1 Detective</x:t>
  </x:si>
  <x:si>
    <x:t xml:space="preserve">Staging: profile before load</x:t>
  </x:si>
  <x:si>
    <x:t xml:space="preserve">2</x:t>
  </x:si>
  <x:si>
    <x:t xml:space="preserve">Stovepipe Game — each department computes its own total</x:t>
  </x:si>
  <x:si>
    <x:t xml:space="preserve">T2 Stovepipes</x:t>
  </x:si>
  <x:si>
    <x:t xml:space="preserve">Independent vs dependent marts</x:t>
  </x:si>
  <x:si>
    <x:t xml:space="preserve">3</x:t>
  </x:si>
  <x:si>
    <x:t xml:space="preserve">Clean the 3 files in staging with formulas</x:t>
  </x:si>
  <x:si>
    <x:t xml:space="preserve">T3a / T3b / T3c</x:t>
  </x:si>
  <x:si>
    <x:t xml:space="preserve">Staging transformations</x:t>
  </x:si>
  <x:si>
    <x:t xml:space="preserve">4</x:t>
  </x:si>
  <x:si>
    <x:t xml:space="preserve">Reconcile — prove 34 rows and 578,650 kg</x:t>
  </x:si>
  <x:si>
    <x:t xml:space="preserve">T4 Reconcile</x:t>
  </x:si>
  <x:si>
    <x:t xml:space="preserve">Validate before you trust</x:t>
  </x:si>
  <x:si>
    <x:t xml:space="preserve">5</x:t>
  </x:si>
  <x:si>
    <x:t xml:space="preserve">Trace the lineage of one number</x:t>
  </x:si>
  <x:si>
    <x:t xml:space="preserve">T5 Lineage</x:t>
  </x:si>
  <x:si>
    <x:t xml:space="preserve">Lineage (slide 29) — homework in 45-min version</x:t>
  </x:si>
  <x:si>
    <x:t xml:space="preserve">6</x:t>
  </x:si>
  <x:si>
    <x:t xml:space="preserve">Kimball Bus Matrix</x:t>
  </x:si>
  <x:si>
    <x:t xml:space="preserve">T6 Bus Matrix</x:t>
  </x:si>
  <x:si>
    <x:t xml:space="preserve">Conformed dimensions</x:t>
  </x:si>
  <x:si>
    <x:t xml:space="preserve">7</x:t>
  </x:si>
  <x:si>
    <x:t xml:space="preserve">Inmon or Kimball? — 10 scenarios</x:t>
  </x:si>
  <x:si>
    <x:t xml:space="preserve">T7 Inmon or Kimball</x:t>
  </x:si>
  <x:si>
    <x:t xml:space="preserve">Top-down vs bottom-up</x:t>
  </x:si>
  <x:si>
    <x:t xml:space="preserve">8</x:t>
  </x:si>
  <x:si>
    <x:t xml:space="preserve">Draw both architectures (paper)</x:t>
  </x:si>
  <x:si>
    <x:t xml:space="preserve">Slide 20c</x:t>
  </x:si>
  <x:si>
    <x:t xml:space="preserve">Inmon CIF vs Kimball bus</x:t>
  </x:si>
  <x:si>
    <x:t xml:space="preserve">Total minutes</x:t>
  </x:si>
  <x:si>
    <x:t xml:space="preserve">Colour legend</x:t>
  </x:si>
  <x:si>
    <x:t xml:space="preserve">You type here</x:t>
  </x:si>
  <x:si>
    <x:t xml:space="preserve">Raw data — do not edit</x:t>
  </x:si>
  <x:si>
    <x:t xml:space="preserve">✔ check passed</x:t>
  </x:si>
  <x:si>
    <x:t xml:space="preserve">✘ check failed — go back and fix</x:t>
  </x:si>
  <x:si>
    <x:t xml:space="preserve">The data contract (target schema)</x:t>
  </x:si>
  <x:si>
    <x:t xml:space="preserve">Column</x:t>
  </x:si>
  <x:si>
    <x:t xml:space="preserve">Type</x:t>
  </x:si>
  <x:si>
    <x:t xml:space="preserve">Rule</x:t>
  </x:si>
  <x:si>
    <x:t xml:space="preserve">Example</x:t>
  </x:si>
  <x:si>
    <x:t xml:space="preserve">ShipmentID</x:t>
  </x:si>
  <x:si>
    <x:t xml:space="preserve">Text</x:t>
  </x:si>
  <x:si>
    <x:t xml:space="preserve">Not blank · unique · prefix MR- / RL- / RD-</x:t>
  </x:si>
  <x:si>
    <x:t xml:space="preserve">RL-45012</x:t>
  </x:si>
  <x:si>
    <x:t xml:space="preserve">ShipDate</x:t>
  </x:si>
  <x:si>
    <x:t xml:space="preserve">Date</x:t>
  </x:si>
  <x:si>
    <x:t xml:space="preserve">Real date (dd-mmm-yyyy)</x:t>
  </x:si>
  <x:si>
    <x:t xml:space="preserve">03-Feb-2026</x:t>
  </x:si>
  <x:si>
    <x:t xml:space="preserve">Origin</x:t>
  </x:si>
  <x:si>
    <x:t xml:space="preserve">Destination</x:t>
  </x:si>
  <x:si>
    <x:t xml:space="preserve">WeightKG</x:t>
  </x:si>
  <x:si>
    <x:t xml:space="preserve">Number</x:t>
  </x:si>
  <x:si>
    <x:t xml:space="preserve">&gt; 0 · kilograms only</x:t>
  </x:si>
  <x:si>
    <x:t xml:space="preserve">32,500</x:t>
  </x:si>
  <x:si>
    <x:t xml:space="preserve">CostPKR</x:t>
  </x:si>
  <x:si>
    <x:t xml:space="preserve">&gt; 0</x:t>
  </x:si>
  <x:si>
    <x:t xml:space="preserve">285,000</x:t>
  </x:si>
  <x:si>
    <x:t xml:space="preserve">Status</x:t>
  </x:si>
  <x:si>
    <x:t xml:space="preserve">Exactly one of: Delivered · In Transit · Delayed</x:t>
  </x:si>
  <x:si>
    <x:t xml:space="preserve">Delivered</x:t>
  </x:si>
  <x:si>
    <x:t xml:space="preserve">SourceSystem</x:t>
  </x:si>
  <x:si>
    <x:t xml:space="preserve">Marine · Rail · Road (audit column)</x:t>
  </x:si>
  <x:si>
    <x:t xml:space="preserve">Rail</x:t>
  </x:si>
  <x:si>
    <x:t xml:space="preserve">Shipment_ID</x:t>
  </x:si>
  <x:si>
    <x:t xml:space="preserve">Ship_Date</x:t>
  </x:si>
  <x:si>
    <x:t xml:space="preserve">Origin_Port</x:t>
  </x:si>
  <x:si>
    <x:t xml:space="preserve">Dest_Port</x:t>
  </x:si>
  <x:si>
    <x:t xml:space="preserve">Weight_KG</x:t>
  </x:si>
  <x:si>
    <x:t xml:space="preserve">Cost_PKR</x:t>
  </x:si>
  <x:si>
    <x:t xml:space="preserve">MR-1001</x:t>
  </x:si>
  <x:si>
    <x:t xml:space="preserve">01/02/2026</x:t>
  </x:si>
  <x:si>
    <x:t xml:space="preserve">Karachi Port</x:t>
  </x:si>
  <x:si>
    <x:t xml:space="preserve">Lahore Dry Port</x:t>
  </x:si>
  <x:si>
    <x:t xml:space="preserve">DELIVERED</x:t>
  </x:si>
  <x:si>
    <x:t xml:space="preserve">MR-1002</x:t>
  </x:si>
  <x:si>
    <x:t xml:space="preserve">02/02/2026</x:t>
  </x:si>
  <x:si>
    <x:t xml:space="preserve">Port Qasim</x:t>
  </x:si>
  <x:si>
    <x:t xml:space="preserve">Faisalabad Dry Port</x:t>
  </x:si>
  <x:si>
    <x:t xml:space="preserve">DELIVERED </x:t>
  </x:si>
  <x:si>
    <x:t xml:space="preserve">MR-1003</x:t>
  </x:si>
  <x:si>
    <x:t xml:space="preserve">03/02/2026</x:t>
  </x:si>
  <x:si>
    <x:t xml:space="preserve">IN TRANSIT</x:t>
  </x:si>
  <x:si>
    <x:t xml:space="preserve">MR-1004</x:t>
  </x:si>
  <x:si>
    <x:t xml:space="preserve">04/02/2026</x:t>
  </x:si>
  <x:si>
    <x:t xml:space="preserve">Gwadar Port</x:t>
  </x:si>
  <x:si>
    <x:t xml:space="preserve">Quetta</x:t>
  </x:si>
  <x:si>
    <x:t xml:space="preserve">MR-1005</x:t>
  </x:si>
  <x:si>
    <x:t xml:space="preserve">05/02/2026</x:t>
  </x:si>
  <x:si>
    <x:t xml:space="preserve">Multan</x:t>
  </x:si>
  <x:si>
    <x:t xml:space="preserve"> DELIVERED</x:t>
  </x:si>
  <x:si>
    <x:t xml:space="preserve">MR-1006</x:t>
  </x:si>
  <x:si>
    <x:t xml:space="preserve">06/02/2026</x:t>
  </x:si>
  <x:si>
    <x:t xml:space="preserve">Sialkot Dry Port</x:t>
  </x:si>
  <x:si>
    <x:t xml:space="preserve">DELAYED</x:t>
  </x:si>
  <x:si>
    <x:t xml:space="preserve">MR-1007</x:t>
  </x:si>
  <x:si>
    <x:t xml:space="preserve">07/02/2026</x:t>
  </x:si>
  <x:si>
    <x:t xml:space="preserve">MR-1008</x:t>
  </x:si>
  <x:si>
    <x:t xml:space="preserve">09/02/2026</x:t>
  </x:si>
  <x:si>
    <x:t xml:space="preserve">Peshawar</x:t>
  </x:si>
  <x:si>
    <x:t xml:space="preserve">IN TRANSIT </x:t>
  </x:si>
  <x:si>
    <x:t xml:space="preserve">MR-1009</x:t>
  </x:si>
  <x:si>
    <x:t xml:space="preserve">10/02/2026</x:t>
  </x:si>
  <x:si>
    <x:t xml:space="preserve">Karachi Cantt</x:t>
  </x:si>
  <x:si>
    <x:t xml:space="preserve">MR-1010</x:t>
  </x:si>
  <x:si>
    <x:t xml:space="preserve">11/02/2026</x:t>
  </x:si>
  <x:si>
    <x:t xml:space="preserve">Islamabad Dry Port</x:t>
  </x:si>
  <x:si>
    <x:t xml:space="preserve">MR-1011</x:t>
  </x:si>
  <x:si>
    <x:t xml:space="preserve">12/02/2026</x:t>
  </x:si>
  <x:si>
    <x:t xml:space="preserve">Hyderabad</x:t>
  </x:si>
  <x:si>
    <x:t xml:space="preserve">MR-1012</x:t>
  </x:si>
  <x:si>
    <x:t xml:space="preserve">13/02/2026</x:t>
  </x:si>
  <x:si>
    <x:t xml:space="preserve">Pakistan Railways Freight — Consignment Register</x:t>
  </x:si>
  <x:si>
    <x:t xml:space="preserve">Period: February 2026   |   Weights in TONS</x:t>
  </x:si>
  <x:si>
    <x:t xml:space="preserve">Consignment No</x:t>
  </x:si>
  <x:si>
    <x:t xml:space="preserve">Dispatch Date</x:t>
  </x:si>
  <x:si>
    <x:t xml:space="preserve">From Station</x:t>
  </x:si>
  <x:si>
    <x:t xml:space="preserve">To Station</x:t>
  </x:si>
  <x:si>
    <x:t xml:space="preserve">Weight (Tons)</x:t>
  </x:si>
  <x:si>
    <x:t xml:space="preserve">Freight Charges (PKR)</x:t>
  </x:si>
  <x:si>
    <x:t xml:space="preserve">Lahore</x:t>
  </x:si>
  <x:si>
    <x:t xml:space="preserve">Rawalpindi</x:t>
  </x:si>
  <x:si>
    <x:t xml:space="preserve">delivered</x:t>
  </x:si>
  <x:si>
    <x:t xml:space="preserve">Pipri Marshalling Yard</x:t>
  </x:si>
  <x:si>
    <x:t xml:space="preserve">Faisalabad</x:t>
  </x:si>
  <x:si>
    <x:t xml:space="preserve">In transit</x:t>
  </x:si>
  <x:si>
    <x:t xml:space="preserve"> Delivered</x:t>
  </x:si>
  <x:si>
    <x:t xml:space="preserve">Peshawar Cantt</x:t>
  </x:si>
  <x:si>
    <x:t xml:space="preserve">Delivered </x:t>
  </x:si>
  <x:si>
    <x:t xml:space="preserve">delayed</x:t>
  </x:si>
  <x:si>
    <x:t xml:space="preserve">Sukkur</x:t>
  </x:si>
  <x:si>
    <x:t xml:space="preserve">in Transit</x:t>
  </x:si>
  <x:si>
    <x:t xml:space="preserve">trip_id</x:t>
  </x:si>
  <x:si>
    <x:t xml:space="preserve">trip_date</x:t>
  </x:si>
  <x:si>
    <x:t xml:space="preserve">from_city</x:t>
  </x:si>
  <x:si>
    <x:t xml:space="preserve">to_city</x:t>
  </x:si>
  <x:si>
    <x:t xml:space="preserve">weight_kg</x:t>
  </x:si>
  <x:si>
    <x:t xml:space="preserve">cost_pkr</x:t>
  </x:si>
  <x:si>
    <x:t xml:space="preserve">status</x:t>
  </x:si>
  <x:si>
    <x:t xml:space="preserve">rd-501</x:t>
  </x:si>
  <x:si>
    <x:t xml:space="preserve">2026-02-02</x:t>
  </x:si>
  <x:si>
    <x:t xml:space="preserve">Islamabad</x:t>
  </x:si>
  <x:si>
    <x:t xml:space="preserve">rd-502</x:t>
  </x:si>
  <x:si>
    <x:t xml:space="preserve">Karachi</x:t>
  </x:si>
  <x:si>
    <x:t xml:space="preserve">rd-503</x:t>
  </x:si>
  <x:si>
    <x:t xml:space="preserve">2026-02-03</x:t>
  </x:si>
  <x:si>
    <x:t xml:space="preserve">in transit </x:t>
  </x:si>
  <x:si>
    <x:t xml:space="preserve">rd-504</x:t>
  </x:si>
  <x:si>
    <x:t xml:space="preserve">2026-02-04</x:t>
  </x:si>
  <x:si>
    <x:t xml:space="preserve">rd-505</x:t>
  </x:si>
  <x:si>
    <x:t xml:space="preserve">2026-02-05</x:t>
  </x:si>
  <x:si>
    <x:t xml:space="preserve">rd-506</x:t>
  </x:si>
  <x:si>
    <x:t xml:space="preserve">2026-02-06</x:t>
  </x:si>
  <x:si>
    <x:t xml:space="preserve">rd-507</x:t>
  </x:si>
  <x:si>
    <x:t xml:space="preserve">2026-02-07</x:t>
  </x:si>
  <x:si>
    <x:t xml:space="preserve">Sialkot</x:t>
  </x:si>
  <x:si>
    <x:t xml:space="preserve">rd-508</x:t>
  </x:si>
  <x:si>
    <x:t xml:space="preserve">2026-02-09</x:t>
  </x:si>
  <x:si>
    <x:t xml:space="preserve">in transit</x:t>
  </x:si>
  <x:si>
    <x:t xml:space="preserve">rd-509</x:t>
  </x:si>
  <x:si>
    <x:t xml:space="preserve">2026-02-10</x:t>
  </x:si>
  <x:si>
    <x:t xml:space="preserve">delivered </x:t>
  </x:si>
  <x:si>
    <x:t xml:space="preserve">rd-510</x:t>
  </x:si>
  <x:si>
    <x:t xml:space="preserve">2026-02-11</x:t>
  </x:si>
  <x:si>
    <x:t xml:space="preserve">Gujranwala</x:t>
  </x:si>
  <x:si>
    <x:t xml:space="preserve">rd-511</x:t>
  </x:si>
  <x:si>
    <x:t xml:space="preserve">2026-02-12</x:t>
  </x:si>
  <x:si>
    <x:t xml:space="preserve"> in transit</x:t>
  </x:si>
  <x:si>
    <x:t xml:space="preserve">rd-512</x:t>
  </x:si>
  <x:si>
    <x:t xml:space="preserve">2026-02-13</x:t>
  </x:si>
  <x:si>
    <x:t xml:space="preserve">Abbottabad</x:t>
  </x:si>
  <x:si>
    <x:t xml:space="preserve">TOTAL</x:t>
  </x:si>
  <x:si>
    <x:t xml:space="preserve">Task 1 · Data Detective (8 min)</x:t>
  </x:si>
  <x:si>
    <x:t xml:space="preserve">Open Marine_Raw, Rail_Raw and Road_Raw. Find at least 10 problems that would break or silently corrupt a warehouse load. For each one say what would go wrong and in which tier you would fix it (Source / Staging / Storage / Presentation). The first row is an example.</x:t>
  </x:si>
  <x:si>
    <x:t xml:space="preserve">Source file</x:t>
  </x:si>
  <x:si>
    <x:t xml:space="preserve">Where (column / row)</x:t>
  </x:si>
  <x:si>
    <x:t xml:space="preserve">Problem you found</x:t>
  </x:si>
  <x:si>
    <x:t xml:space="preserve">What goes wrong if loaded as-is?</x:t>
  </x:si>
  <x:si>
    <x:t xml:space="preserve">Fix in which tier?</x:t>
  </x:si>
  <x:si>
    <x:t xml:space="preserve">How would you fix it?</x:t>
  </x:si>
  <x:si>
    <x:t xml:space="preserve">Marine</x:t>
  </x:si>
  <x:si>
    <x:t xml:space="preserve">Ship_Date (all rows)</x:t>
  </x:si>
  <x:si>
    <x:t xml:space="preserve">Dates are text in dd/mm/yyyy</x:t>
  </x:si>
  <x:si>
    <x:t xml:space="preserve">A US-locale tool reads 03/02 as 2 March; 13/02/2026 becomes an error</x:t>
  </x:si>
  <x:si>
    <x:t xml:space="preserve">Staging</x:t>
  </x:si>
  <x:si>
    <x:t xml:space="preserve">Convert to a real date using the UK locale</x:t>
  </x:si>
  <x:si>
    <x:t xml:space="preserve">Issues found:</x:t>
  </x:si>
  <x:si>
    <x:t xml:space="preserve">Task 2 · The Stovepipe Game (7 min)</x:t>
  </x:si>
  <x:si>
    <x:t xml:space="preserve">Each team member plays one department that built its OWN mini-warehouse with its OWN rules. Write a formula in the yellow cell that adds up the raw sheets following ONLY your department's rule. Then compare.</x:t>
  </x:si>
  <x:si>
    <x:t xml:space="preserve">Department</x:t>
  </x:si>
  <x:si>
    <x:t xml:space="preserve">Their (flawed) rule</x:t>
  </x:si>
  <x:si>
    <x:t xml:space="preserve">Your formula → total kg</x:t>
  </x:si>
  <x:si>
    <x:t xml:space="preserve">Tonnes</x:t>
  </x:si>
  <x:si>
    <x:t xml:space="preserve">Difference from truth (t)</x:t>
  </x:si>
  <x:si>
    <x:t xml:space="preserve">Hint</x:t>
  </x:si>
  <x:si>
    <x:t xml:space="preserve">Operations</x:t>
  </x:si>
  <x:si>
    <x:t xml:space="preserve">Removed the duplicate rd-505 ✔ but forgot to remove the TOTAL row ✘. Rail converted to kg ✔.</x:t>
  </x:si>
  <x:si>
    <x:t xml:space="preserve">SUM the whole Road column (TOTAL included) then subtract the duplicate row</x:t>
  </x:si>
  <x:si>
    <x:t xml:space="preserve">Finance</x:t>
  </x:si>
  <x:si>
    <x:t xml:space="preserve">Cleaned Road correctly ✔ but loaded Rail tonnes as if they were kg ✘.</x:t>
  </x:si>
  <x:si>
    <x:t xml:space="preserve">Don't multiply Rail by 1000</x:t>
  </x:si>
  <x:si>
    <x:t xml:space="preserve">Sales</x:t>
  </x:si>
  <x:si>
    <x:t xml:space="preserve">Removed the TOTAL row ✔ but kept the duplicate trip ✘. Rail converted to kg ✔.</x:t>
  </x:si>
  <x:si>
    <x:t xml:space="preserve">Road rows 2–14 include the duplicate</x:t>
  </x:si>
  <x:si>
    <x:t xml:space="preserve">Official truth</x:t>
  </x:si>
  <x:si>
    <x:t xml:space="preserve">One staging area, one set of rules (dependent / conformed marts)</x:t>
  </x:si>
  <x:si>
    <x:t xml:space="preserve">Discuss (write one line each)</x:t>
  </x:si>
  <x:si>
    <x:t xml:space="preserve">Q1. All three teams were honest. Why are their numbers different?</x:t>
  </x:si>
  <x:si>
    <x:t xml:space="preserve">Q2. Which department's mistake is the most dangerous, and why?</x:t>
  </x:si>
  <x:si>
    <x:t xml:space="preserve">Q3. What architecture change makes all three report the same number?</x:t>
  </x:si>
  <x:si>
    <x:t xml:space="preserve">Q4. Which role should decide the official definition (e.g. what counts as one shipment)?</x:t>
  </x:si>
  <x:si>
    <x:t xml:space="preserve">Task 3a · Stage the Marine file</x:t>
  </x:si>
  <x:si>
    <x:t xml:space="preserve">Write one formula in the first yellow cell of each column, then drag it down. Columns that are already filled are simple copies.</x:t>
  </x:si>
  <x:si>
    <x:t xml:space="preserve">RAW — copied exactly as received (grey, don't edit)</x:t>
  </x:si>
  <x:si>
    <x:t xml:space="preserve">STAGED — contract columns (your formulas in yellow)</x:t>
  </x:si>
  <x:si>
    <x:t xml:space="preserve">Hints</x:t>
  </x:si>
  <x:si>
    <x:t xml:space="preserve">ShipDate: B is TEXT like 03/02/2026 = 3 February. Pull day, month, year with LEFT, MID, RIGHT and build a date with DATE(year, month, day).</x:t>
  </x:si>
  <x:si>
    <x:t xml:space="preserve">TRAP CHECK: MR-1003 must show 03-Feb-2026 (not 02-Mar) and MR-1012 must show 13-Feb-2026 (not an error).</x:t>
  </x:si>
  <x:si>
    <x:t xml:space="preserve">Status: remove hidden spaces first, then fix the case. Look up TRIM and PROPER.</x:t>
  </x:si>
  <x:si>
    <x:t xml:space="preserve">SourceSystem: every row gets the same text — this is your audit column.</x:t>
  </x:si>
  <x:si>
    <x:t xml:space="preserve">Task 3b · Stage the Rail file</x:t>
  </x:si>
  <x:si>
    <x:t xml:space="preserve">The two title rows were already removed for you (in Power BI you'd do it with Remove Top Rows). Fill the yellow columns.</x:t>
  </x:si>
  <x:si>
    <x:t xml:space="preserve">ShipmentID: join the text 'RL-' to the number with &amp;  →  RL-45012.</x:t>
  </x:si>
  <x:si>
    <x:t xml:space="preserve">WeightKG: Rail is in TONNES. 1 tonne = 1,000 kg.</x:t>
  </x:si>
  <x:si>
    <x:t xml:space="preserve">Status: same trick as Marine.</x:t>
  </x:si>
  <x:si>
    <x:t xml:space="preserve">Check: RL-45012 should weigh 32,500 kg.</x:t>
  </x:si>
  <x:si>
    <x:t xml:space="preserve">Task 3c · Stage the Road file</x:t>
  </x:si>
  <x:si>
    <x:t xml:space="preserve">Road has junk rows. Transform every row, then decide in 'Keep?' which rows are real shipments (Y) and which must be removed (N) — with a reason.</x:t>
  </x:si>
  <x:si>
    <x:t xml:space="preserve">Keep? (Y/N)</x:t>
  </x:si>
  <x:si>
    <x:t xml:space="preserve">Reason if N</x:t>
  </x:si>
  <x:si>
    <x:t xml:space="preserve">ShipmentID: make it UPPERCASE  →  RD-501.</x:t>
  </x:si>
  <x:si>
    <x:t xml:space="preserve">ShipDate: B is text like 2026-02-02. DATEVALUE turns it into a date; wrap it in IFERROR for the junk rows.</x:t>
  </x:si>
  <x:si>
    <x:t xml:space="preserve">Keep?: there are 15 raw lines but only 12 real trips. Find the 3 that must go.</x:t>
  </x:si>
  <x:si>
    <x:t xml:space="preserve">Status: TRIM + PROPER again.</x:t>
  </x:si>
  <x:si>
    <x:t xml:space="preserve">Why not just delete the junk rows? Because staging keeps the raw copy — you mark and explain, so the audit trail survives.</x:t>
  </x:si>
  <x:si>
    <x:t xml:space="preserve">Task 4 · Reconcile — Validate Before You Trust (3 min)</x:t>
  </x:si>
  <x:si>
    <x:t xml:space="preserve">Nothing to type here. These checks read your staging tabs. Every ✘ means a mistake in Task 3 — go back and fix it until everything is ✔.</x:t>
  </x:si>
  <x:si>
    <x:t xml:space="preserve">Source</x:t>
  </x:si>
  <x:si>
    <x:t xml:space="preserve">Raw lines</x:t>
  </x:si>
  <x:si>
    <x:t xml:space="preserve">Removed</x:t>
  </x:si>
  <x:si>
    <x:t xml:space="preserve">Loaded</x:t>
  </x:si>
  <x:si>
    <x:t xml:space="preserve">Expected rows</x:t>
  </x:si>
  <x:si>
    <x:t xml:space="preserve">Weight (kg)</x:t>
  </x:si>
  <x:si>
    <x:t xml:space="preserve">Expected kg</x:t>
  </x:si>
  <x:si>
    <x:t xml:space="preserve">Check</x:t>
  </x:si>
  <x:si>
    <x:t xml:space="preserve">Road</x:t>
  </x:si>
  <x:si>
    <x:t xml:space="preserve">Total</x:t>
  </x:si>
  <x:si>
    <x:t xml:space="preserve">Total freight (tonnes)</x:t>
  </x:si>
  <x:si>
    <x:t xml:space="preserve">Reconciliation rule: Raw lines − Removed = Loaded. Every removed row must have a reason in T3c.</x:t>
  </x:si>
  <x:si>
    <x:t xml:space="preserve">Expected values (blue) are the official lab answers from slide 39.</x:t>
  </x:si>
  <x:si>
    <x:t xml:space="preserve">Road (kept)</x:t>
  </x:si>
  <x:si>
    <x:t xml:space="preserve">Expected</x:t>
  </x:si>
  <x:si>
    <x:t xml:space="preserve">In Transit</x:t>
  </x:si>
  <x:si>
    <x:t xml:space="preserve">Delayed</x:t>
  </x:si>
  <x:si>
    <x:t xml:space="preserve">Other status values</x:t>
  </x:si>
  <x:si>
    <x:t xml:space="preserve">Date trap</x:t>
  </x:si>
  <x:si>
    <x:t xml:space="preserve">MR-1003 date</x:t>
  </x:si>
  <x:si>
    <x:t xml:space="preserve">MR-1012 date</x:t>
  </x:si>
  <x:si>
    <x:t xml:space="preserve">Task 5 · Trace the Lineage of One Number (5 min)</x:t>
  </x:si>
  <x:si>
    <x:t xml:space="preserve">Metric: Total Freight = 578.65 tonnes (the card on the CEO dashboard). Fill each tier from the SOURCE down to the REPORT. Model answer idea: slide 29.</x:t>
  </x:si>
  <x:si>
    <x:t xml:space="preserve">Tier</x:t>
  </x:si>
  <x:si>
    <x:t xml:space="preserve">What the data looks like here</x:t>
  </x:si>
  <x:si>
    <x:t xml:space="preserve">What changes here (transformation)</x:t>
  </x:si>
  <x:si>
    <x:t xml:space="preserve">Quality check you'd place here ✓</x:t>
  </x:si>
  <x:si>
    <x:t xml:space="preserve">Audit / lineage info you'd keep</x:t>
  </x:si>
  <x:si>
    <x:t xml:space="preserve">1 · Source files</x:t>
  </x:si>
  <x:si>
    <x:t xml:space="preserve">2 · Staging</x:t>
  </x:si>
  <x:si>
    <x:t xml:space="preserve">3 · Storage (integrated)</x:t>
  </x:si>
  <x:si>
    <x:t xml:space="preserve">4 · Presentation</x:t>
  </x:si>
  <x:si>
    <x:t xml:space="preserve">5 · Report</x:t>
  </x:si>
  <x:si>
    <x:t xml:space="preserve">Where do tonnes become kilograms — and why there and not in the dashboard?</x:t>
  </x:si>
  <x:si>
    <x:t xml:space="preserve">Task 6 · Kimball Bus Matrix (7 min)</x:t>
  </x:si>
  <x:si>
    <x:t xml:space="preserve">Rows = PakFreight business processes (each becomes one star schema). Columns = dimensions. Put X where a process needs that dimension. Dimensions used by many processes must be CONFORMED (built once, shared by all stars) — that is what stops stovepipes.</x:t>
  </x:si>
  <x:si>
    <x:t xml:space="preserve">Business process (fact table)</x:t>
  </x:si>
  <x:si>
    <x:t xml:space="preserve">Customer</x:t>
  </x:si>
  <x:si>
    <x:t xml:space="preserve">Route</x:t>
  </x:si>
  <x:si>
    <x:t xml:space="preserve">Vehicle</x:t>
  </x:si>
  <x:si>
    <x:t xml:space="preserve">Driver</x:t>
  </x:si>
  <x:si>
    <x:t xml:space="preserve">Station / Port</x:t>
  </x:si>
  <x:si>
    <x:t xml:space="preserve">Commodity</x:t>
  </x:si>
  <x:si>
    <x:t xml:space="preserve">Dims used</x:t>
  </x:si>
  <x:si>
    <x:t xml:space="preserve">Shipments</x:t>
  </x:si>
  <x:si>
    <x:t xml:space="preserve">Billing &amp; Invoicing</x:t>
  </x:si>
  <x:si>
    <x:t xml:space="preserve">Fleet Maintenance</x:t>
  </x:si>
  <x:si>
    <x:t xml:space="preserve">Fuel Purchases</x:t>
  </x:si>
  <x:si>
    <x:t xml:space="preserve">Driver Trips &amp; Hours</x:t>
  </x:si>
  <x:si>
    <x:t xml:space="preserve">Customer Complaints</x:t>
  </x:si>
  <x:si>
    <x:t xml:space="preserve">Processes using this dim</x:t>
  </x:si>
  <x:si>
    <x:t xml:space="preserve">Row 1 (Shipments) is filled as an example.</x:t>
  </x:si>
  <x:si>
    <x:t xml:space="preserve">Q1. Which dimension is used by EVERY process? Why is it always conformed first?</x:t>
  </x:si>
  <x:si>
    <x:t xml:space="preserve">Q2. Which 2–3 dimensions must Finance, Ops and Sales agree on to stop the '3 different totals' problem?</x:t>
  </x:si>
  <x:si>
    <x:t xml:space="preserve">Q3. Kimball is 'bottom-up'. Does that mean he doesn't plan? What does this matrix prove?</x:t>
  </x:si>
  <x:si>
    <x:t xml:space="preserve">Q4. Which row would you build first for the COO, and why?</x:t>
  </x:si>
  <x:si>
    <x:t xml:space="preserve">Task 7 · Inmon, Kimball or Hybrid? (5 min)</x:t>
  </x:si>
  <x:si>
    <x:t xml:space="preserve">Pick from the drop-down for each statement and give a one-line reason. Your teacher will reveal the answers.</x:t>
  </x:si>
  <x:si>
    <x:t xml:space="preserve">Statement / scenario</x:t>
  </x:si>
  <x:si>
    <x:t xml:space="preserve">Inmon · Kimball · Hybrid</x:t>
  </x:si>
  <x:si>
    <x:t xml:space="preserve">Why? (one line)</x:t>
  </x:si>
  <x:si>
    <x:t xml:space="preserve">A bank must integrate 40 systems into one enterprise model for regulators before anyone builds reports.</x:t>
  </x:si>
  <x:si>
    <x:t xml:space="preserve">PakFreight's COO wants a useful shipments dashboard within 3 months.</x:t>
  </x:si>
  <x:si>
    <x:t xml:space="preserve">The core warehouse is stored in normalised third normal form (3NF).</x:t>
  </x:si>
  <x:si>
    <x:t xml:space="preserve">Data marts ARE the presentation area, tied together by conformed dimensions.</x:t>
  </x:si>
  <x:si>
    <x:t xml:space="preserve">The bus matrix is planned for the whole company, but built one process at a time.</x:t>
  </x:si>
  <x:si>
    <x:t xml:space="preserve">Departments get dependent marts that are derived from the central EDW.</x:t>
  </x:si>
  <x:si>
    <x:t xml:space="preserve">Biggest risk: a long wait before users see any value.</x:t>
  </x:si>
  <x:si>
    <x:t xml:space="preserve">Biggest risk: sliding back into stovepipes if teams ignore conformance.</x:t>
  </x:si>
  <x:si>
    <x:t xml:space="preserve">Start from the data; users discover real requirements after they see it (CLDS).</x:t>
  </x:si>
  <x:si>
    <x:t xml:space="preserve">Bronze raw files → Silver cleaned &amp; integrated tables → Gold star schemas in Microsoft Fabric.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</x:si>
</x:sst>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General"/>
    <x:numFmt numFmtId="166" formatCode="#,##0"/>
    <x:numFmt numFmtId="167" formatCode="dd\-mmm\-yyyy"/>
    <x:numFmt numFmtId="168" formatCode="0.00"/>
    <x:numFmt numFmtId="169" formatCode="#,##0.00"/>
    <x:numFmt numFmtId="170" formatCode="\+#,##0.00;\-#,##0.00;0.00"/>
    <x:numFmt numFmtId="171" formatCode="#,##0.##"/>
    <x:numFmt numFmtId="200" formatCode="dd-mmm-yyyy"/>
  </x:numFmts>
  <x:fonts count="19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0B2545"/>
      <x:name val="Arial"/>
    </x:font>
    <x:font>
      <x:i/>
      <x:sz val="10"/>
      <x:color rgb="FF4B5563"/>
      <x:name val="Arial"/>
    </x:font>
    <x:font>
      <x:b/>
      <x:sz val="12"/>
      <x:color rgb="FF0B2545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2"/>
      <x:name val="Arial"/>
    </x:font>
    <x:font>
      <x:i/>
      <x:sz val="10"/>
      <x:name val="Arial"/>
    </x:font>
    <x:font>
      <x:sz val="10"/>
      <x:color rgb="FF6B7280"/>
      <x:name val="Arial"/>
    </x:font>
    <x:font>
      <x:sz val="10"/>
      <x:color rgb="FF0000FF"/>
      <x:name val="Arial"/>
    </x:font>
    <x:font>
      <x:sz val="10"/>
      <x:name val="Arial"/>
      <x:family val="2"/>
    </x:font>
    <x:font>
      <x:b/>
      <x:sz val="11"/>
      <x:color rgb="FF6B7280"/>
      <x:name val="Arial"/>
    </x:font>
    <x:font>
      <x:b/>
      <x:sz val="11"/>
      <x:color rgb="FF00A6A6"/>
      <x:name val="Arial"/>
    </x:font>
    <x:font>
      <x:i/>
      <x:sz val="9"/>
      <x:color rgb="FF6B728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FF59D"/>
      </x:patternFill>
    </x:fill>
    <x:fill>
      <x:patternFill patternType="solid">
        <x:fgColor rgb="FFF3F4F6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6B7280"/>
      </x:patternFill>
    </x:fill>
    <x:fill>
      <x:patternFill patternType="solid">
        <x:fgColor rgb="FFE6F6F6"/>
      </x:patternFill>
    </x:fill>
    <x:fill>
      <x:patternFill patternType="solid">
        <x:fgColor rgb="FF00A6A6"/>
      </x:patternFill>
    </x:fill>
    <x:fill>
      <x:patternFill patternType="solid">
        <x:fgColor rgb="FFE3EDF7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C8CFD8"/>
      </x:left>
      <x:right style="thin">
        <x:color rgb="FFC8CFD8"/>
      </x:right>
      <x:top style="thin">
        <x:color rgb="FFC8CFD8"/>
      </x:top>
      <x:bottom style="thin">
        <x:color rgb="FFC8CFD8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1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1" applyAlignment="1" applyProtection="0">
      <x:alignment horizontal="general" vertical="top" wrapText="1" shrinkToFit="0"/>
      <x:protection locked="1" hidden="0"/>
    </x:xf>
    <x:xf numFmtId="164" fontId="6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1" applyBorder="0" applyAlignment="1" applyProtection="0">
      <x:alignment horizontal="right" vertical="top" wrapText="0" shrinkToFit="0"/>
      <x:protection locked="1" hidden="0"/>
    </x:xf>
    <x:xf numFmtId="164" fontId="7" fillId="0" borderId="0" xfId="0" applyFont="1" applyBorder="1" applyAlignment="1" applyProtection="0">
      <x:alignment horizontal="general" vertical="top" wrapText="1" shrinkToFit="0"/>
      <x:protection locked="1" hidden="0"/>
    </x:xf>
    <x:xf numFmtId="164" fontId="8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9" fillId="0" borderId="1" xfId="0" applyFont="1" applyBorder="1" applyAlignment="1" applyProtection="0">
      <x:alignment horizontal="center" vertical="top" wrapText="1" shrinkToFit="0"/>
      <x:protection locked="1" hidden="0"/>
    </x:xf>
    <x:xf numFmtId="164" fontId="9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10" fillId="0" borderId="1" xfId="0" applyFont="1" applyBorder="1" applyAlignment="1" applyProtection="0">
      <x:alignment horizontal="general" vertical="top" wrapText="1" shrinkToFit="0"/>
      <x:protection locked="1" hidden="0"/>
    </x:xf>
    <x:xf numFmtId="165" fontId="10" fillId="0" borderId="1" xfId="0" applyFont="1" applyBorder="1" applyAlignment="1" applyProtection="0">
      <x:alignment horizontal="center" vertical="top" wrapText="1" shrinkToFit="0"/>
      <x:protection locked="1" hidden="0"/>
    </x:xf>
    <x:xf numFmtId="164" fontId="9" fillId="3" borderId="1" xfId="0" applyFont="1" applyBorder="1" applyAlignment="1" applyProtection="0">
      <x:alignment horizontal="general" vertical="top" wrapText="1" shrinkToFit="0"/>
      <x:protection locked="1" hidden="0"/>
    </x:xf>
    <x:xf numFmtId="164" fontId="9" fillId="4" borderId="1" xfId="0" applyFont="1" applyBorder="1" applyAlignment="1" applyProtection="0">
      <x:alignment horizontal="general" vertical="top" wrapText="1" shrinkToFit="0"/>
      <x:protection locked="1" hidden="0"/>
    </x:xf>
    <x:xf numFmtId="164" fontId="9" fillId="5" borderId="1" xfId="0" applyFont="1" applyBorder="1" applyAlignment="1" applyProtection="0">
      <x:alignment horizontal="general" vertical="top" wrapText="1" shrinkToFit="0"/>
      <x:protection locked="1" hidden="0"/>
    </x:xf>
    <x:xf numFmtId="164" fontId="9" fillId="6" borderId="1" xfId="0" applyFont="1" applyBorder="1" applyAlignment="1" applyProtection="0">
      <x:alignment horizontal="general" vertical="top" wrapText="1" shrinkToFit="0"/>
      <x:protection locked="1" hidden="0"/>
    </x:xf>
    <x:xf numFmtId="164" fontId="8" fillId="7" borderId="1" xfId="0" applyFont="1" applyBorder="1" applyAlignment="1" applyProtection="0">
      <x:alignment horizontal="center" vertical="center" wrapText="1" shrinkToFit="0"/>
      <x:protection locked="1" hidden="0"/>
    </x:xf>
    <x:xf numFmtId="164" fontId="9" fillId="4" borderId="1" xfId="0" applyFont="1" applyBorder="1" applyAlignment="1" applyProtection="0">
      <x:alignment horizontal="general" vertical="top" wrapText="0" shrinkToFit="0"/>
      <x:protection locked="1" hidden="0"/>
    </x:xf>
    <x:xf numFmtId="166" fontId="9" fillId="4" borderId="1" xfId="0" applyFont="1" applyBorder="1" applyAlignment="1" applyProtection="0">
      <x:alignment horizontal="general" vertical="top" wrapText="0" shrinkToFit="0"/>
      <x:protection locked="1" hidden="0"/>
    </x:xf>
    <x:xf numFmtId="164" fontId="11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2" fillId="0" borderId="0" xfId="0" applyFont="1" applyBorder="0" applyAlignment="0" applyProtection="0">
      <x:alignment horizontal="general" vertical="bottom" wrapText="0" shrinkToFit="0"/>
      <x:protection locked="1" hidden="0"/>
    </x:xf>
    <x:xf numFmtId="167" fontId="9" fillId="4" borderId="1" xfId="0" applyFont="1" applyBorder="1" applyAlignment="1" applyProtection="0">
      <x:alignment horizontal="general" vertical="top" wrapText="0" shrinkToFit="0"/>
      <x:protection locked="1" hidden="0"/>
    </x:xf>
    <x:xf numFmtId="168" fontId="9" fillId="4" borderId="1" xfId="0" applyFont="1" applyBorder="1" applyAlignment="1" applyProtection="0">
      <x:alignment horizontal="general" vertical="top" wrapText="0" shrinkToFit="0"/>
      <x:protection locked="1" hidden="0"/>
    </x:xf>
    <x:xf numFmtId="164" fontId="10" fillId="0" borderId="1" xfId="0" applyFont="1" applyBorder="1" applyAlignment="1" applyProtection="0">
      <x:alignment horizontal="right" vertical="top" wrapText="1" shrinkToFit="0"/>
      <x:protection locked="1" hidden="0"/>
    </x:xf>
    <x:xf numFmtId="169" fontId="9" fillId="3" borderId="1" xfId="0" applyFont="1" applyBorder="1" applyAlignment="1" applyProtection="0">
      <x:alignment horizontal="general" vertical="top" wrapText="1" shrinkToFit="0"/>
      <x:protection locked="1" hidden="0"/>
    </x:xf>
    <x:xf numFmtId="169" fontId="9" fillId="0" borderId="1" xfId="0" applyFont="1" applyBorder="1" applyAlignment="1" applyProtection="0">
      <x:alignment horizontal="general" vertical="top" wrapText="1" shrinkToFit="0"/>
      <x:protection locked="1" hidden="0"/>
    </x:xf>
    <x:xf numFmtId="170" fontId="9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13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10" fillId="8" borderId="1" xfId="0" applyFont="1" applyBorder="1" applyAlignment="1" applyProtection="0">
      <x:alignment horizontal="general" vertical="top" wrapText="1" shrinkToFit="0"/>
      <x:protection locked="1" hidden="0"/>
    </x:xf>
    <x:xf numFmtId="164" fontId="9" fillId="8" borderId="1" xfId="0" applyFont="1" applyBorder="1" applyAlignment="1" applyProtection="0">
      <x:alignment horizontal="general" vertical="top" wrapText="1" shrinkToFit="0"/>
      <x:protection locked="1" hidden="0"/>
    </x:xf>
    <x:xf numFmtId="166" fontId="14" fillId="8" borderId="1" xfId="0" applyFont="1" applyBorder="1" applyAlignment="1" applyProtection="0">
      <x:alignment horizontal="general" vertical="top" wrapText="1" shrinkToFit="0"/>
      <x:protection locked="1" hidden="0"/>
    </x:xf>
    <x:xf numFmtId="169" fontId="10" fillId="8" borderId="1" xfId="0" applyFont="1" applyBorder="1" applyAlignment="1" applyProtection="0">
      <x:alignment horizontal="general" vertical="top" wrapText="1" shrinkToFit="0"/>
      <x:protection locked="1" hidden="0"/>
    </x:xf>
    <x:xf numFmtId="164" fontId="16" fillId="0" borderId="0" xfId="0" applyFont="1" applyBorder="1" applyAlignment="0" applyProtection="0">
      <x:alignment horizontal="general" vertical="bottom" wrapText="0" shrinkToFit="0"/>
      <x:protection locked="1" hidden="0"/>
    </x:xf>
    <x:xf numFmtId="164" fontId="17" fillId="0" borderId="0" xfId="0" applyFont="1" applyBorder="1" applyAlignment="0" applyProtection="0">
      <x:alignment horizontal="general" vertical="bottom" wrapText="0" shrinkToFit="0"/>
      <x:protection locked="1" hidden="0"/>
    </x:xf>
    <x:xf numFmtId="171" fontId="9" fillId="4" borderId="1" xfId="0" applyFont="1" applyBorder="1" applyAlignment="1" applyProtection="0">
      <x:alignment horizontal="general" vertical="top" wrapText="0" shrinkToFit="0"/>
      <x:protection locked="1" hidden="0"/>
    </x:xf>
    <x:xf numFmtId="164" fontId="9" fillId="0" borderId="1" xfId="0" applyFont="1" applyBorder="1" applyAlignment="1" applyProtection="0">
      <x:alignment horizontal="general" vertical="top" wrapText="0" shrinkToFit="0"/>
      <x:protection locked="1" hidden="0"/>
    </x:xf>
    <x:xf numFmtId="167" fontId="9" fillId="3" borderId="1" xfId="0" applyFont="1" applyBorder="1" applyAlignment="1" applyProtection="0">
      <x:alignment horizontal="general" vertical="top" wrapText="0" shrinkToFit="0"/>
      <x:protection locked="1" hidden="0"/>
    </x:xf>
    <x:xf numFmtId="166" fontId="9" fillId="0" borderId="1" xfId="0" applyFont="1" applyBorder="1" applyAlignment="1" applyProtection="0">
      <x:alignment horizontal="general" vertical="top" wrapText="0" shrinkToFit="0"/>
      <x:protection locked="1" hidden="0"/>
    </x:xf>
    <x:xf numFmtId="164" fontId="9" fillId="3" borderId="1" xfId="0" applyFont="1" applyBorder="1" applyAlignment="1" applyProtection="0">
      <x:alignment horizontal="general" vertical="top" wrapText="0" shrinkToFit="0"/>
      <x:protection locked="1" hidden="0"/>
    </x:xf>
    <x:xf numFmtId="164" fontId="9" fillId="8" borderId="1" xfId="0" applyFont="1" applyBorder="1" applyAlignment="1" applyProtection="0">
      <x:alignment horizontal="general" vertical="top" wrapText="0" shrinkToFit="0"/>
      <x:protection locked="1" hidden="0"/>
    </x:xf>
    <x:xf numFmtId="167" fontId="9" fillId="0" borderId="1" xfId="0" applyFont="1" applyBorder="1" applyAlignment="1" applyProtection="0">
      <x:alignment horizontal="general" vertical="top" wrapText="0" shrinkToFit="0"/>
      <x:protection locked="1" hidden="0"/>
    </x:xf>
    <x:xf numFmtId="166" fontId="9" fillId="3" borderId="1" xfId="0" applyFont="1" applyBorder="1" applyAlignment="1" applyProtection="0">
      <x:alignment horizontal="general" vertical="top" wrapText="0" shrinkToFit="0"/>
      <x:protection locked="1" hidden="0"/>
    </x:xf>
    <x:xf numFmtId="164" fontId="8" fillId="9" borderId="1" xfId="0" applyFont="1" applyBorder="1" applyAlignment="1" applyProtection="0">
      <x:alignment horizontal="center" vertical="center" wrapText="1" shrinkToFit="0"/>
      <x:protection locked="1" hidden="0"/>
    </x:xf>
    <x:xf numFmtId="164" fontId="14" fillId="0" borderId="1" xfId="0" applyFont="1" applyBorder="1" applyAlignment="1" applyProtection="0">
      <x:alignment horizontal="center" vertical="top" wrapText="1" shrinkToFit="0"/>
      <x:protection locked="1" hidden="0"/>
    </x:xf>
    <x:xf numFmtId="166" fontId="9" fillId="0" borderId="1" xfId="0" applyFont="1" applyBorder="1" applyAlignment="1" applyProtection="0">
      <x:alignment horizontal="general" vertical="top" wrapText="1" shrinkToFit="0"/>
      <x:protection locked="1" hidden="0"/>
    </x:xf>
    <x:xf numFmtId="166" fontId="14" fillId="0" borderId="1" xfId="0" applyFont="1" applyBorder="1" applyAlignment="1" applyProtection="0">
      <x:alignment horizontal="general" vertical="top" wrapText="1" shrinkToFit="0"/>
      <x:protection locked="1" hidden="0"/>
    </x:xf>
    <x:xf numFmtId="166" fontId="10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10" fillId="0" borderId="1" xfId="0" applyFont="1" applyBorder="1" applyAlignment="1" applyProtection="0">
      <x:alignment horizontal="center" vertical="top" wrapText="1" shrinkToFit="0"/>
      <x:protection locked="1" hidden="0"/>
    </x:xf>
    <x:xf numFmtId="169" fontId="10" fillId="0" borderId="1" xfId="0" applyFont="1" applyBorder="1" applyAlignment="1" applyProtection="0">
      <x:alignment horizontal="general" vertical="top" wrapText="1" shrinkToFit="0"/>
      <x:protection locked="1" hidden="0"/>
    </x:xf>
    <x:xf numFmtId="169" fontId="14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18" fillId="0" borderId="0" xfId="0" applyFont="1" applyBorder="0" applyAlignment="0" applyProtection="0">
      <x:alignment horizontal="general" vertical="bottom" wrapText="0" shrinkToFit="0"/>
      <x:protection locked="1" hidden="0"/>
    </x:xf>
    <x:xf numFmtId="167" fontId="9" fillId="0" borderId="1" xfId="0" applyFont="1" applyBorder="1" applyAlignment="1" applyProtection="0">
      <x:alignment horizontal="general" vertical="top" wrapText="1" shrinkToFit="0"/>
      <x:protection locked="1" hidden="0"/>
    </x:xf>
    <x:xf numFmtId="167" fontId="14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10" fillId="10" borderId="1" xfId="0" applyFont="1" applyBorder="1" applyAlignment="1" applyProtection="0">
      <x:alignment horizontal="general" vertical="top" wrapText="1" shrinkToFit="0"/>
      <x:protection locked="1" hidden="0"/>
    </x:xf>
    <x:xf numFmtId="164" fontId="10" fillId="3" borderId="1" xfId="0" applyFont="1" applyBorder="1" applyAlignment="1" applyProtection="0">
      <x:alignment horizontal="center" vertical="top" wrapText="1" shrinkToFit="0"/>
      <x:protection locked="1" hidden="0"/>
    </x:xf>
    <x:xf numFmtId="165" fontId="10" fillId="8" borderId="1" xfId="0" applyFont="1" applyBorder="1" applyAlignment="1" applyProtection="0">
      <x:alignment horizontal="center" vertical="top" wrapText="1" shrinkToFit="0"/>
      <x:protection locked="1" hidden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top" wrapText="1"/>
    </x:xf>
    <x:xf numFmtId="164" fontId="8" fillId="2" borderId="1" xfId="0" applyNumberFormat="1" applyFont="1" applyFill="1" applyBorder="1" applyAlignment="1">
      <x:alignment horizontal="center" vertical="center" wrapText="1"/>
    </x:xf>
    <x:xf numFmtId="164" fontId="9" fillId="0" borderId="1" xfId="0" applyNumberFormat="1" applyFont="1" applyFill="1" applyBorder="1" applyAlignment="1">
      <x:alignment horizontal="center" vertical="top" wrapText="1"/>
    </x:xf>
    <x:xf numFmtId="164" fontId="9" fillId="0" borderId="1" xfId="0" applyNumberFormat="1" applyFont="1" applyFill="1" applyBorder="1" applyAlignment="1">
      <x:alignment horizontal="general" vertical="top" wrapText="1"/>
    </x:xf>
    <x:xf numFmtId="164" fontId="9" fillId="3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right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9" fontId="9" fillId="3" borderId="1" xfId="0" applyNumberFormat="1" applyFont="1" applyFill="1" applyBorder="1" applyAlignment="1">
      <x:alignment horizontal="general" vertical="top" wrapText="1"/>
    </x:xf>
    <x:xf numFmtId="169" fontId="9" fillId="0" borderId="1" xfId="0" applyNumberFormat="1" applyFont="1" applyFill="1" applyBorder="1" applyAlignment="1">
      <x:alignment horizontal="general" vertical="top" wrapText="1"/>
    </x:xf>
    <x:xf numFmtId="170" fontId="9" fillId="0" borderId="1" xfId="0" applyNumberFormat="1" applyFont="1" applyFill="1" applyBorder="1" applyAlignment="1">
      <x:alignment horizontal="general" vertical="top" wrapText="1"/>
    </x:xf>
    <x:xf numFmtId="164" fontId="13" fillId="0" borderId="1" xfId="0" applyNumberFormat="1" applyFont="1" applyFill="1" applyBorder="1" applyAlignment="1">
      <x:alignment horizontal="general" vertical="top" wrapText="1"/>
    </x:xf>
    <x:xf numFmtId="164" fontId="10" fillId="8" borderId="1" xfId="0" applyNumberFormat="1" applyFont="1" applyFill="1" applyBorder="1" applyAlignment="1">
      <x:alignment horizontal="general" vertical="top" wrapText="1"/>
    </x:xf>
    <x:xf numFmtId="164" fontId="9" fillId="8" borderId="1" xfId="0" applyNumberFormat="1" applyFont="1" applyFill="1" applyBorder="1" applyAlignment="1">
      <x:alignment horizontal="general" vertical="top" wrapText="1"/>
    </x:xf>
    <x:xf numFmtId="166" fontId="14" fillId="8" borderId="1" xfId="0" applyNumberFormat="1" applyFont="1" applyFill="1" applyBorder="1" applyAlignment="1">
      <x:alignment horizontal="general" vertical="top" wrapText="1"/>
    </x:xf>
    <x:xf numFmtId="169" fontId="10" fillId="8" borderId="1" xfId="0" applyNumberFormat="1" applyFont="1" applyFill="1" applyBorder="1" applyAlignment="1">
      <x:alignment horizontal="general" vertical="top" wrapText="1"/>
    </x:xf>
    <x:xf numFmtId="164" fontId="6" fillId="0" borderId="0" xfId="0" applyNumberFormat="1" applyFont="1" applyFill="1" applyBorder="1" applyAlignment="1">
      <x:alignment horizontal="general" vertical="bottom" wrapText="1"/>
    </x:xf>
    <x:xf numFmtId="164" fontId="10" fillId="1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center" vertical="top" wrapText="1"/>
    </x:xf>
    <x:xf numFmtId="164" fontId="10" fillId="3" borderId="1" xfId="0" applyNumberFormat="1" applyFont="1" applyFill="1" applyBorder="1" applyAlignment="1">
      <x:alignment horizontal="center" vertical="top" wrapText="1"/>
    </x:xf>
    <x:xf numFmtId="164" fontId="10" fillId="8" borderId="1" xfId="0" applyNumberFormat="1" applyFont="1" applyFill="1" applyBorder="1" applyAlignment="1">
      <x:alignment horizontal="center" vertical="top" wrapText="1"/>
    </x:xf>
    <x:xf numFmtId="164" fontId="18" fillId="0" borderId="0" xfId="0" applyNumberFormat="1" applyFont="1" applyFill="1" applyBorder="1" applyAlignment="1">
      <x:alignment horizontal="general" vertical="bottom" wrapText="1"/>
    </x:xf>
    <x:xf numFmtId="200" fontId="9" fillId="3" borderId="1" xfId="0" applyNumberFormat="1" applyFont="1" applyFill="1" applyBorder="1" applyAlignment="1">
      <x:alignment horizontal="general" vertical="top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9" fillId="0" borderId="1" xfId="0" applyNumberFormat="1" applyFont="1" applyFill="1" applyBorder="1" applyAlignment="1">
      <x:alignment horizontal="general" vertical="top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b/>
        <x:color rgb="FF006100"/>
        <x:name val="Arial"/>
      </x:font>
      <x:fill>
        <x:patternFill>
          <x:bgColor rgb="FFC6EFCE"/>
        </x:patternFill>
      </x:fill>
    </x:dxf>
    <x:dxf>
      <x:font>
        <x:b/>
        <x:color rgb="FF9C0006"/>
        <x:name val="Arial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6100"/>
      <x:rgbColor rgb="FF000080"/>
      <x:rgbColor rgb="FF808000"/>
      <x:rgbColor rgb="FF800080"/>
      <x:rgbColor rgb="FF00A6A6"/>
      <x:rgbColor rgb="FFC0C0C0"/>
      <x:rgbColor rgb="FF808080"/>
      <x:rgbColor rgb="FF9999FF"/>
      <x:rgbColor rgb="FF993366"/>
      <x:rgbColor rgb="FFF3F4F6"/>
      <x:rgbColor rgb="FFE6F6F6"/>
      <x:rgbColor rgb="FF660066"/>
      <x:rgbColor rgb="FFFF8080"/>
      <x:rgbColor rgb="FF0066CC"/>
      <x:rgbColor rgb="FFC8CFD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3EDF7"/>
      <x:rgbColor rgb="FFC6EFCE"/>
      <x:rgbColor rgb="FFFFF59D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B7280"/>
      <x:rgbColor rgb="FF9CA3AF"/>
      <x:rgbColor rgb="FF0B2545"/>
      <x:rgbColor rgb="FF339966"/>
      <x:rgbColor rgb="FF003300"/>
      <x:rgbColor rgb="FF333300"/>
      <x:rgbColor rgb="FF993300"/>
      <x:rgbColor rgb="FF993366"/>
      <x:rgbColor rgb="FF333399"/>
      <x:rgbColor rgb="FF4B556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0f996e2ed4dc4" /><Relationship Type="http://schemas.openxmlformats.org/officeDocument/2006/relationships/theme" Target="/xl/theme/theme1.xml" Id="Re280ce65630f404a" /><Relationship Type="http://schemas.openxmlformats.org/officeDocument/2006/relationships/sharedStrings" Target="/xl/sharedStrings.xml" Id="Re6b46d8bdd2941e7" /><Relationship Type="http://schemas.openxmlformats.org/officeDocument/2006/relationships/worksheet" Target="/xl/worksheets/sheet1.xml" Id="R36f2d48453694738" /><Relationship Type="http://schemas.openxmlformats.org/officeDocument/2006/relationships/worksheet" Target="/xl/worksheets/sheet2.xml" Id="Rdb264a6939054f26" /><Relationship Type="http://schemas.openxmlformats.org/officeDocument/2006/relationships/worksheet" Target="/xl/worksheets/sheet3.xml" Id="Rb3d04f938d0c4e0d" /><Relationship Type="http://schemas.openxmlformats.org/officeDocument/2006/relationships/worksheet" Target="/xl/worksheets/sheet4.xml" Id="R15852d4807e94b3e" /><Relationship Type="http://schemas.openxmlformats.org/officeDocument/2006/relationships/worksheet" Target="/xl/worksheets/sheet5.xml" Id="Re9aa264bf28e418f" /><Relationship Type="http://schemas.openxmlformats.org/officeDocument/2006/relationships/worksheet" Target="/xl/worksheets/sheet6.xml" Id="R53e0993355484519" /><Relationship Type="http://schemas.openxmlformats.org/officeDocument/2006/relationships/worksheet" Target="/xl/worksheets/sheet7.xml" Id="Rdb82c7f714aa4c4d" /><Relationship Type="http://schemas.openxmlformats.org/officeDocument/2006/relationships/worksheet" Target="/xl/worksheets/sheet8.xml" Id="R84f50196b5e14a20" /><Relationship Type="http://schemas.openxmlformats.org/officeDocument/2006/relationships/worksheet" Target="/xl/worksheets/sheet9.xml" Id="Rfe6c6541e4534a02" /><Relationship Type="http://schemas.openxmlformats.org/officeDocument/2006/relationships/worksheet" Target="/xl/worksheets/sheet10.xml" Id="R38792cd5050940fc" /><Relationship Type="http://schemas.openxmlformats.org/officeDocument/2006/relationships/worksheet" Target="/xl/worksheets/sheet11.xml" Id="Rc11a54838dcd42b5" /><Relationship Type="http://schemas.openxmlformats.org/officeDocument/2006/relationships/worksheet" Target="/xl/worksheets/sheet12.xml" Id="R58064e962ddc4ccb" /><Relationship Type="http://schemas.openxmlformats.org/officeDocument/2006/relationships/worksheet" Target="/xl/worksheets/sheet13.xml" Id="R49e46d0f08aa4876" /><Relationship Type="http://schemas.microsoft.com/office/2017/10/relationships/person" Target="/xl/persons/person.xml" Id="R2d4a6b6cfc414ff5" /></Relationships>
</file>

<file path=xl/persons/person.xml><?xml version="1.0" encoding="utf-8"?>
<xltc:personList xmlns:xltc="http://schemas.microsoft.com/office/spreadsheetml/2018/threadedcomments">
  <xltc:person displayName="Unknown Author" id="{421D552F-751D-EA2C-D3EF-3E84BCBB9A50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c3c33a30c92f41e1" /><Relationship Type="http://schemas.openxmlformats.org/officeDocument/2006/relationships/vmlDrawing" Target="/xl/drawings/vmldrawing.vml" Id="R8830d87fb874411e" /></Relationships>
</file>

<file path=xl/worksheets/sheet1.xml><?xml version="1.0" encoding="utf-8"?>
<x:worksheet xmlns:x="http://schemas.openxmlformats.org/spreadsheetml/2006/main">
  <x:sheetPr>
    <x:tabColor rgb="FF00A6A6"/>
  </x:sheetPr>
  <x:sheetViews>
    <x:sheetView showGridLines="0" workbookViewId="0"/>
  </x:sheetViews>
  <x:sheetFormatPr defaultColWidth="8.6796875" defaultRowHeight="15"/>
  <x:cols>
    <x:col min="1" max="1" width="12" hidden="0" customWidth="1"/>
    <x:col min="2" max="2" width="46" hidden="0" customWidth="1"/>
    <x:col min="3" max="3" width="22" hidden="0" customWidth="1"/>
    <x:col min="4" max="4" width="40" hidden="0" customWidth="1"/>
    <x:col min="5" max="5" width="13" hidden="0" customWidth="1"/>
    <x:col min="6" max="6" width="34" hidden="0" customWidth="1"/>
  </x:cols>
  <x:sheetData>
    <x:row r="1" ht="27.75" hidden="0" customHeight="1">
      <x:c r="A1" s="1" t="s">
        <x:v>0</x:v>
      </x:c>
    </x:row>
    <x:row r="2" ht="43.5" hidden="0" customHeight="1">
      <x:c r="A2" s="2" t="s">
        <x:v>1</x:v>
      </x:c>
      <x:c r="B2" s="2"/>
      <x:c r="C2" s="2"/>
      <x:c r="D2" s="2"/>
      <x:c r="E2" s="2"/>
      <x:c r="F2" s="2"/>
    </x:row>
    <x:row r="4" ht="15" hidden="0">
      <x:c r="A4" s="3" t="s">
        <x:v>2</x:v>
      </x:c>
    </x:row>
    <x:row r="5" ht="27.75" hidden="0" customHeight="1">
      <x:c r="A5" s="4" t="s">
        <x:v>3</x:v>
      </x:c>
      <x:c r="B5" s="5" t="s">
        <x:v>4</x:v>
      </x:c>
      <x:c r="C5" s="5"/>
      <x:c r="D5" s="5"/>
      <x:c r="E5" s="5"/>
      <x:c r="F5" s="5"/>
    </x:row>
    <x:row r="6" ht="27.75" hidden="0" customHeight="1">
      <x:c r="A6" s="4" t="s">
        <x:v>3</x:v>
      </x:c>
      <x:c r="B6" s="5" t="s">
        <x:v>5</x:v>
      </x:c>
      <x:c r="C6" s="5"/>
      <x:c r="D6" s="5"/>
      <x:c r="E6" s="5"/>
      <x:c r="F6" s="5"/>
    </x:row>
    <x:row r="7" ht="27.75" hidden="0" customHeight="1">
      <x:c r="A7" s="4" t="s">
        <x:v>3</x:v>
      </x:c>
      <x:c r="B7" s="5" t="s">
        <x:v>6</x:v>
      </x:c>
      <x:c r="C7" s="5"/>
      <x:c r="D7" s="5"/>
      <x:c r="E7" s="5"/>
      <x:c r="F7" s="5"/>
    </x:row>
    <x:row r="8" ht="27.75" hidden="0" customHeight="1">
      <x:c r="A8" s="4" t="s">
        <x:v>3</x:v>
      </x:c>
      <x:c r="B8" s="5" t="s">
        <x:v>7</x:v>
      </x:c>
      <x:c r="C8" s="5"/>
      <x:c r="D8" s="5"/>
      <x:c r="E8" s="5"/>
      <x:c r="F8" s="5"/>
    </x:row>
    <x:row r="9" ht="27.75" hidden="0" customHeight="1">
      <x:c r="A9" s="4" t="s">
        <x:v>3</x:v>
      </x:c>
      <x:c r="B9" s="5" t="s">
        <x:v>8</x:v>
      </x:c>
      <x:c r="C9" s="5"/>
      <x:c r="D9" s="5"/>
      <x:c r="E9" s="5"/>
      <x:c r="F9" s="5"/>
    </x:row>
    <x:row r="10" ht="27.75" hidden="0" customHeight="1">
      <x:c r="A10" s="4" t="s">
        <x:v>3</x:v>
      </x:c>
      <x:c r="B10" s="5" t="s">
        <x:v>9</x:v>
      </x:c>
      <x:c r="C10" s="5"/>
      <x:c r="D10" s="5"/>
      <x:c r="E10" s="5"/>
      <x:c r="F10" s="5"/>
    </x:row>
    <x:row r="12" ht="15" hidden="0">
      <x:c r="A12" s="3" t="s">
        <x:v>10</x:v>
      </x:c>
    </x:row>
    <x:row r="13" ht="31.5" hidden="0" customHeight="1">
      <x:c r="A13" s="6" t="s">
        <x:v>11</x:v>
      </x:c>
      <x:c r="B13" s="6" t="s">
        <x:v>12</x:v>
      </x:c>
      <x:c r="C13" s="6" t="s">
        <x:v>13</x:v>
      </x:c>
      <x:c r="D13" s="6" t="s">
        <x:v>14</x:v>
      </x:c>
      <x:c r="E13" s="6" t="s">
        <x:v>15</x:v>
      </x:c>
      <x:c r="F13" s="6" t="s">
        <x:v>16</x:v>
      </x:c>
    </x:row>
    <x:row r="14" ht="15" hidden="0">
      <x:c r="A14" s="7" t="s">
        <x:v>17</x:v>
      </x:c>
      <x:c r="B14" s="8" t="s">
        <x:v>18</x:v>
      </x:c>
      <x:c r="C14" s="8" t="s">
        <x:v>19</x:v>
      </x:c>
      <x:c r="D14" s="7" t="n">
        <x:v>5</x:v>
      </x:c>
      <x:c r="E14" s="7" t="n">
        <x:v>3</x:v>
      </x:c>
      <x:c r="F14" s="8" t="s">
        <x:v>20</x:v>
      </x:c>
    </x:row>
    <x:row r="15" ht="15" hidden="0">
      <x:c r="A15" s="7" t="s">
        <x:v>21</x:v>
      </x:c>
      <x:c r="B15" s="8" t="s">
        <x:v>22</x:v>
      </x:c>
      <x:c r="C15" s="8" t="s">
        <x:v>23</x:v>
      </x:c>
      <x:c r="D15" s="7" t="n">
        <x:v>8</x:v>
      </x:c>
      <x:c r="E15" s="7" t="n">
        <x:v>6</x:v>
      </x:c>
      <x:c r="F15" s="8" t="s">
        <x:v>24</x:v>
      </x:c>
    </x:row>
    <x:row r="16" ht="23.850000381469727" hidden="0">
      <x:c r="A16" s="7" t="s">
        <x:v>25</x:v>
      </x:c>
      <x:c r="B16" s="8" t="s">
        <x:v>26</x:v>
      </x:c>
      <x:c r="C16" s="8" t="s">
        <x:v>27</x:v>
      </x:c>
      <x:c r="D16" s="7" t="n">
        <x:v>7</x:v>
      </x:c>
      <x:c r="E16" s="7" t="n">
        <x:v>5</x:v>
      </x:c>
      <x:c r="F16" s="8" t="s">
        <x:v>28</x:v>
      </x:c>
    </x:row>
    <x:row r="17" ht="15" hidden="0">
      <x:c r="A17" s="7" t="s">
        <x:v>29</x:v>
      </x:c>
      <x:c r="B17" s="8" t="s">
        <x:v>30</x:v>
      </x:c>
      <x:c r="C17" s="8" t="s">
        <x:v>31</x:v>
      </x:c>
      <x:c r="D17" s="7" t="n">
        <x:v>15</x:v>
      </x:c>
      <x:c r="E17" s="7" t="n">
        <x:v>12</x:v>
      </x:c>
      <x:c r="F17" s="8" t="s">
        <x:v>32</x:v>
      </x:c>
    </x:row>
    <x:row r="18" ht="15" hidden="0">
      <x:c r="A18" s="7" t="s">
        <x:v>33</x:v>
      </x:c>
      <x:c r="B18" s="8" t="s">
        <x:v>34</x:v>
      </x:c>
      <x:c r="C18" s="8" t="s">
        <x:v>35</x:v>
      </x:c>
      <x:c r="D18" s="7" t="n">
        <x:v>3</x:v>
      </x:c>
      <x:c r="E18" s="7" t="n">
        <x:v>3</x:v>
      </x:c>
      <x:c r="F18" s="8" t="s">
        <x:v>36</x:v>
      </x:c>
    </x:row>
    <x:row r="19" ht="23.850000381469727" hidden="0">
      <x:c r="A19" s="7" t="s">
        <x:v>37</x:v>
      </x:c>
      <x:c r="B19" s="8" t="s">
        <x:v>38</x:v>
      </x:c>
      <x:c r="C19" s="8" t="s">
        <x:v>39</x:v>
      </x:c>
      <x:c r="D19" s="7" t="n">
        <x:v>5</x:v>
      </x:c>
      <x:c r="E19" s="7" t="n">
        <x:v>0</x:v>
      </x:c>
      <x:c r="F19" s="8" t="s">
        <x:v>40</x:v>
      </x:c>
    </x:row>
    <x:row r="20" ht="15" hidden="0">
      <x:c r="A20" s="7" t="s">
        <x:v>41</x:v>
      </x:c>
      <x:c r="B20" s="8" t="s">
        <x:v>42</x:v>
      </x:c>
      <x:c r="C20" s="8" t="s">
        <x:v>43</x:v>
      </x:c>
      <x:c r="D20" s="7" t="n">
        <x:v>7</x:v>
      </x:c>
      <x:c r="E20" s="7" t="n">
        <x:v>6</x:v>
      </x:c>
      <x:c r="F20" s="8" t="s">
        <x:v>44</x:v>
      </x:c>
    </x:row>
    <x:row r="21" ht="15" hidden="0">
      <x:c r="A21" s="7" t="s">
        <x:v>45</x:v>
      </x:c>
      <x:c r="B21" s="8" t="s">
        <x:v>46</x:v>
      </x:c>
      <x:c r="C21" s="8" t="s">
        <x:v>47</x:v>
      </x:c>
      <x:c r="D21" s="7" t="n">
        <x:v>5</x:v>
      </x:c>
      <x:c r="E21" s="7" t="n">
        <x:v>5</x:v>
      </x:c>
      <x:c r="F21" s="8" t="s">
        <x:v>48</x:v>
      </x:c>
    </x:row>
    <x:row r="22" ht="15" hidden="0">
      <x:c r="A22" s="7" t="s">
        <x:v>49</x:v>
      </x:c>
      <x:c r="B22" s="8" t="s">
        <x:v>50</x:v>
      </x:c>
      <x:c r="C22" s="8" t="s">
        <x:v>51</x:v>
      </x:c>
      <x:c r="D22" s="7" t="n">
        <x:v>5</x:v>
      </x:c>
      <x:c r="E22" s="7" t="n">
        <x:v>5</x:v>
      </x:c>
      <x:c r="F22" s="8" t="s">
        <x:v>52</x:v>
      </x:c>
    </x:row>
    <x:row r="23" ht="15" hidden="0">
      <x:c r="B23" s="9" t="s">
        <x:v>53</x:v>
      </x:c>
      <x:c r="D23" s="10" t="n">
        <x:f aca="0">SUM(D14:D22)</x:f>
        <x:v>60</x:v>
      </x:c>
      <x:c r="E23" s="10" t="n">
        <x:f aca="0">SUM(E14:E22)</x:f>
        <x:v>45</x:v>
      </x:c>
    </x:row>
    <x:row r="25" ht="15" hidden="0">
      <x:c r="A25" s="3" t="s">
        <x:v>54</x:v>
      </x:c>
    </x:row>
    <x:row r="26" ht="15" hidden="0">
      <x:c r="A26" s="11"/>
      <x:c r="B26" s="8" t="s">
        <x:v>55</x:v>
      </x:c>
    </x:row>
    <x:row r="27" ht="15" hidden="0">
      <x:c r="A27" s="12"/>
      <x:c r="B27" s="8" t="s">
        <x:v>56</x:v>
      </x:c>
    </x:row>
    <x:row r="28" ht="15" hidden="0">
      <x:c r="A28" s="13"/>
      <x:c r="B28" s="8" t="s">
        <x:v>57</x:v>
      </x:c>
    </x:row>
    <x:row r="29" ht="15" hidden="0">
      <x:c r="A29" s="14"/>
      <x:c r="B29" s="8" t="s">
        <x:v>58</x:v>
      </x:c>
    </x:row>
    <x:row r="31" ht="15" hidden="0">
      <x:c r="A31" s="3" t="s">
        <x:v>59</x:v>
      </x:c>
    </x:row>
    <x:row r="32" ht="31.5" hidden="0" customHeight="1">
      <x:c r="A32" s="6" t="s">
        <x:v>60</x:v>
      </x:c>
      <x:c r="B32" s="6" t="s">
        <x:v>61</x:v>
      </x:c>
      <x:c r="C32" s="6" t="s">
        <x:v>62</x:v>
      </x:c>
      <x:c r="D32" s="6" t="s">
        <x:v>63</x:v>
      </x:c>
    </x:row>
    <x:row r="33" ht="23.850000381469727" hidden="0">
      <x:c r="A33" s="8" t="s">
        <x:v>64</x:v>
      </x:c>
      <x:c r="B33" s="8" t="s">
        <x:v>65</x:v>
      </x:c>
      <x:c r="C33" s="8" t="s">
        <x:v>66</x:v>
      </x:c>
      <x:c r="D33" s="8" t="s">
        <x:v>67</x:v>
      </x:c>
    </x:row>
    <x:row r="34" ht="15" hidden="0">
      <x:c r="A34" s="8" t="s">
        <x:v>68</x:v>
      </x:c>
      <x:c r="B34" s="8" t="s">
        <x:v>69</x:v>
      </x:c>
      <x:c r="C34" s="8" t="s">
        <x:v>70</x:v>
      </x:c>
      <x:c r="D34" s="8" t="s">
        <x:v>71</x:v>
      </x:c>
    </x:row>
    <x:row r="35" ht="15" hidden="0">
      <x:c r="A35" s="8" t="s">
        <x:v>72</x:v>
      </x:c>
      <x:c r="B35" s="8" t="s">
        <x:v>65</x:v>
      </x:c>
      <x:c r="C35" s="8"/>
      <x:c r="D35" s="8"/>
    </x:row>
    <x:row r="36" ht="15" hidden="0">
      <x:c r="A36" s="8" t="s">
        <x:v>73</x:v>
      </x:c>
      <x:c r="B36" s="8" t="s">
        <x:v>65</x:v>
      </x:c>
      <x:c r="C36" s="8"/>
      <x:c r="D36" s="8"/>
    </x:row>
    <x:row r="37" ht="15" hidden="0">
      <x:c r="A37" s="8" t="s">
        <x:v>74</x:v>
      </x:c>
      <x:c r="B37" s="8" t="s">
        <x:v>75</x:v>
      </x:c>
      <x:c r="C37" s="8" t="s">
        <x:v>76</x:v>
      </x:c>
      <x:c r="D37" s="8" t="s">
        <x:v>77</x:v>
      </x:c>
    </x:row>
    <x:row r="38" ht="15" hidden="0">
      <x:c r="A38" s="8" t="s">
        <x:v>78</x:v>
      </x:c>
      <x:c r="B38" s="8" t="s">
        <x:v>75</x:v>
      </x:c>
      <x:c r="C38" s="8" t="s">
        <x:v>79</x:v>
      </x:c>
      <x:c r="D38" s="8" t="s">
        <x:v>80</x:v>
      </x:c>
    </x:row>
    <x:row r="39" ht="23.850000381469727" hidden="0">
      <x:c r="A39" s="8" t="s">
        <x:v>81</x:v>
      </x:c>
      <x:c r="B39" s="8" t="s">
        <x:v>65</x:v>
      </x:c>
      <x:c r="C39" s="8" t="s">
        <x:v>82</x:v>
      </x:c>
      <x:c r="D39" s="8" t="s">
        <x:v>83</x:v>
      </x:c>
    </x:row>
    <x:row r="40" ht="23.850000381469727" hidden="0">
      <x:c r="A40" s="8" t="s">
        <x:v>84</x:v>
      </x:c>
      <x:c r="B40" s="8" t="s">
        <x:v>65</x:v>
      </x:c>
      <x:c r="C40" s="8" t="s">
        <x:v>85</x:v>
      </x:c>
      <x:c r="D40" s="8" t="s">
        <x:v>86</x:v>
      </x:c>
    </x:row>
  </x:sheetData>
  <x:mergeCells>
    <x:mergeCell ref="A2:F2"/>
    <x:mergeCell ref="B5:F5"/>
    <x:mergeCell ref="B6:F6"/>
    <x:mergeCell ref="B7:F7"/>
    <x:mergeCell ref="B8:F8"/>
    <x:mergeCell ref="B9:F9"/>
    <x:mergeCell ref="B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CA3AF"/>
  </x:sheetPr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13" hidden="0" customWidth="1"/>
    <x:col min="3" max="3" width="15" hidden="0" customWidth="1"/>
    <x:col min="4" max="4" width="20" hidden="0" customWidth="1"/>
    <x:col min="5" max="6" width="12" hidden="0" customWidth="1"/>
    <x:col min="7" max="7" width="14" hidden="0" customWidth="1"/>
  </x:cols>
  <x:sheetData>
    <x:row r="1" ht="31.5" hidden="0" customHeight="1">
      <x:c r="A1" s="15" t="s">
        <x:v>87</x:v>
      </x:c>
      <x:c r="B1" s="15" t="s">
        <x:v>88</x:v>
      </x:c>
      <x:c r="C1" s="15" t="s">
        <x:v>89</x:v>
      </x:c>
      <x:c r="D1" s="15" t="s">
        <x:v>90</x:v>
      </x:c>
      <x:c r="E1" s="15" t="s">
        <x:v>91</x:v>
      </x:c>
      <x:c r="F1" s="15" t="s">
        <x:v>92</x:v>
      </x:c>
      <x:c r="G1" s="15" t="s">
        <x:v>81</x:v>
      </x:c>
    </x:row>
    <x:row r="2" ht="15" hidden="0">
      <x:c r="A2" s="16" t="s">
        <x:v>93</x:v>
      </x:c>
      <x:c r="B2" s="16" t="s">
        <x:v>94</x:v>
      </x:c>
      <x:c r="C2" s="16" t="s">
        <x:v>95</x:v>
      </x:c>
      <x:c r="D2" s="16" t="s">
        <x:v>96</x:v>
      </x:c>
      <x:c r="E2" s="17" t="n">
        <x:v>18000</x:v>
      </x:c>
      <x:c r="F2" s="17" t="n">
        <x:v>142000</x:v>
      </x:c>
      <x:c r="G2" s="16" t="s">
        <x:v>97</x:v>
      </x:c>
    </x:row>
    <x:row r="3" ht="15" hidden="0">
      <x:c r="A3" s="16" t="s">
        <x:v>98</x:v>
      </x:c>
      <x:c r="B3" s="16" t="s">
        <x:v>99</x:v>
      </x:c>
      <x:c r="C3" s="16" t="s">
        <x:v>100</x:v>
      </x:c>
      <x:c r="D3" s="16" t="s">
        <x:v>101</x:v>
      </x:c>
      <x:c r="E3" s="17" t="n">
        <x:v>22500</x:v>
      </x:c>
      <x:c r="F3" s="17" t="n">
        <x:v>171000</x:v>
      </x:c>
      <x:c r="G3" s="16" t="s">
        <x:v>102</x:v>
      </x:c>
    </x:row>
    <x:row r="4" ht="15" hidden="0">
      <x:c r="A4" s="16" t="s">
        <x:v>103</x:v>
      </x:c>
      <x:c r="B4" s="16" t="s">
        <x:v>104</x:v>
      </x:c>
      <x:c r="C4" s="16" t="s">
        <x:v>95</x:v>
      </x:c>
      <x:c r="D4" s="16" t="s">
        <x:v>96</x:v>
      </x:c>
      <x:c r="E4" s="17" t="n">
        <x:v>15000</x:v>
      </x:c>
      <x:c r="F4" s="17" t="n">
        <x:v>119000</x:v>
      </x:c>
      <x:c r="G4" s="16" t="s">
        <x:v>105</x:v>
      </x:c>
    </x:row>
    <x:row r="5" ht="15" hidden="0">
      <x:c r="A5" s="16" t="s">
        <x:v>106</x:v>
      </x:c>
      <x:c r="B5" s="16" t="s">
        <x:v>107</x:v>
      </x:c>
      <x:c r="C5" s="16" t="s">
        <x:v>108</x:v>
      </x:c>
      <x:c r="D5" s="16" t="s">
        <x:v>109</x:v>
      </x:c>
      <x:c r="E5" s="17" t="n">
        <x:v>20000</x:v>
      </x:c>
      <x:c r="F5" s="17" t="n">
        <x:v>188000</x:v>
      </x:c>
      <x:c r="G5" s="16" t="s">
        <x:v>97</x:v>
      </x:c>
    </x:row>
    <x:row r="6" ht="15" hidden="0">
      <x:c r="A6" s="16" t="s">
        <x:v>110</x:v>
      </x:c>
      <x:c r="B6" s="16" t="s">
        <x:v>111</x:v>
      </x:c>
      <x:c r="C6" s="16" t="s">
        <x:v>100</x:v>
      </x:c>
      <x:c r="D6" s="16" t="s">
        <x:v>112</x:v>
      </x:c>
      <x:c r="E6" s="17" t="n">
        <x:v>16500</x:v>
      </x:c>
      <x:c r="F6" s="17" t="n">
        <x:v>128000</x:v>
      </x:c>
      <x:c r="G6" s="16" t="s">
        <x:v>113</x:v>
      </x:c>
    </x:row>
    <x:row r="7" ht="15" hidden="0">
      <x:c r="A7" s="16" t="s">
        <x:v>114</x:v>
      </x:c>
      <x:c r="B7" s="16" t="s">
        <x:v>115</x:v>
      </x:c>
      <x:c r="C7" s="16" t="s">
        <x:v>95</x:v>
      </x:c>
      <x:c r="D7" s="16" t="s">
        <x:v>116</x:v>
      </x:c>
      <x:c r="E7" s="17" t="n">
        <x:v>19000</x:v>
      </x:c>
      <x:c r="F7" s="17" t="n">
        <x:v>154000</x:v>
      </x:c>
      <x:c r="G7" s="16" t="s">
        <x:v>117</x:v>
      </x:c>
    </x:row>
    <x:row r="8" ht="15" hidden="0">
      <x:c r="A8" s="16" t="s">
        <x:v>118</x:v>
      </x:c>
      <x:c r="B8" s="16" t="s">
        <x:v>119</x:v>
      </x:c>
      <x:c r="C8" s="16" t="s">
        <x:v>100</x:v>
      </x:c>
      <x:c r="D8" s="16" t="s">
        <x:v>96</x:v>
      </x:c>
      <x:c r="E8" s="17" t="n">
        <x:v>14000</x:v>
      </x:c>
      <x:c r="F8" s="17" t="n">
        <x:v>109000</x:v>
      </x:c>
      <x:c r="G8" s="16" t="s">
        <x:v>97</x:v>
      </x:c>
    </x:row>
    <x:row r="9" ht="15" hidden="0">
      <x:c r="A9" s="16" t="s">
        <x:v>120</x:v>
      </x:c>
      <x:c r="B9" s="16" t="s">
        <x:v>121</x:v>
      </x:c>
      <x:c r="C9" s="16" t="s">
        <x:v>95</x:v>
      </x:c>
      <x:c r="D9" s="16" t="s">
        <x:v>122</x:v>
      </x:c>
      <x:c r="E9" s="17" t="n">
        <x:v>21000</x:v>
      </x:c>
      <x:c r="F9" s="17" t="n">
        <x:v>197000</x:v>
      </x:c>
      <x:c r="G9" s="16" t="s">
        <x:v>123</x:v>
      </x:c>
    </x:row>
    <x:row r="10" ht="15" hidden="0">
      <x:c r="A10" s="16" t="s">
        <x:v>124</x:v>
      </x:c>
      <x:c r="B10" s="16" t="s">
        <x:v>125</x:v>
      </x:c>
      <x:c r="C10" s="16" t="s">
        <x:v>108</x:v>
      </x:c>
      <x:c r="D10" s="16" t="s">
        <x:v>126</x:v>
      </x:c>
      <x:c r="E10" s="17" t="n">
        <x:v>17500</x:v>
      </x:c>
      <x:c r="F10" s="17" t="n">
        <x:v>98000</x:v>
      </x:c>
      <x:c r="G10" s="16" t="s">
        <x:v>97</x:v>
      </x:c>
    </x:row>
    <x:row r="11" ht="15" hidden="0">
      <x:c r="A11" s="16" t="s">
        <x:v>127</x:v>
      </x:c>
      <x:c r="B11" s="16" t="s">
        <x:v>128</x:v>
      </x:c>
      <x:c r="C11" s="16" t="s">
        <x:v>100</x:v>
      </x:c>
      <x:c r="D11" s="16" t="s">
        <x:v>129</x:v>
      </x:c>
      <x:c r="E11" s="17" t="n">
        <x:v>15500</x:v>
      </x:c>
      <x:c r="F11" s="17" t="n">
        <x:v>139000</x:v>
      </x:c>
      <x:c r="G11" s="16" t="s">
        <x:v>97</x:v>
      </x:c>
    </x:row>
    <x:row r="12" ht="15" hidden="0">
      <x:c r="A12" s="16" t="s">
        <x:v>130</x:v>
      </x:c>
      <x:c r="B12" s="16" t="s">
        <x:v>131</x:v>
      </x:c>
      <x:c r="C12" s="16" t="s">
        <x:v>95</x:v>
      </x:c>
      <x:c r="D12" s="16" t="s">
        <x:v>132</x:v>
      </x:c>
      <x:c r="E12" s="17" t="n">
        <x:v>13500</x:v>
      </x:c>
      <x:c r="F12" s="17" t="n">
        <x:v>61000</x:v>
      </x:c>
      <x:c r="G12" s="16" t="s">
        <x:v>105</x:v>
      </x:c>
    </x:row>
    <x:row r="13" ht="15" hidden="0">
      <x:c r="A13" s="16" t="s">
        <x:v>133</x:v>
      </x:c>
      <x:c r="B13" s="16" t="s">
        <x:v>134</x:v>
      </x:c>
      <x:c r="C13" s="16" t="s">
        <x:v>100</x:v>
      </x:c>
      <x:c r="D13" s="16" t="s">
        <x:v>96</x:v>
      </x:c>
      <x:c r="E13" s="17" t="n">
        <x:v>14000</x:v>
      </x:c>
      <x:c r="F13" s="17" t="n">
        <x:v>112000</x:v>
      </x:c>
      <x:c r="G13" s="16" t="s">
        <x:v>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CA3AF"/>
  </x:sheetPr>
  <x:sheetViews>
    <x:sheetView showGridLines="1" workbookViewId="0"/>
  </x:sheetViews>
  <x:sheetFormatPr defaultColWidth="8.6796875" defaultRowHeight="15"/>
  <x:cols>
    <x:col min="1" max="1" width="16" hidden="0" customWidth="1"/>
    <x:col min="2" max="2" width="14" hidden="0" customWidth="1"/>
    <x:col min="3" max="3" width="24" hidden="0" customWidth="1"/>
    <x:col min="4" max="4" width="16" hidden="0" customWidth="1"/>
    <x:col min="5" max="5" width="14" hidden="0" customWidth="1"/>
    <x:col min="6" max="6" width="20" hidden="0" customWidth="1"/>
    <x:col min="7" max="7" width="12" hidden="0" customWidth="1"/>
  </x:cols>
  <x:sheetData>
    <x:row r="1" ht="15" hidden="0">
      <x:c r="A1" s="18" t="s">
        <x:v>135</x:v>
      </x:c>
    </x:row>
    <x:row r="2" ht="15" hidden="0">
      <x:c r="A2" s="19" t="s">
        <x:v>136</x:v>
      </x:c>
    </x:row>
    <x:row r="3" ht="31.5" hidden="0" customHeight="1">
      <x:c r="A3" s="15" t="s">
        <x:v>137</x:v>
      </x:c>
      <x:c r="B3" s="15" t="s">
        <x:v>138</x:v>
      </x:c>
      <x:c r="C3" s="15" t="s">
        <x:v>139</x:v>
      </x:c>
      <x:c r="D3" s="15" t="s">
        <x:v>140</x:v>
      </x:c>
      <x:c r="E3" s="15" t="s">
        <x:v>141</x:v>
      </x:c>
      <x:c r="F3" s="15" t="s">
        <x:v>142</x:v>
      </x:c>
      <x:c r="G3" s="15" t="s">
        <x:v>81</x:v>
      </x:c>
    </x:row>
    <x:row r="4" ht="15" hidden="0">
      <x:c r="A4" s="16" t="n">
        <x:v>45012</x:v>
      </x:c>
      <x:c r="B4" s="20" t="n">
        <x:v>46056</x:v>
      </x:c>
      <x:c r="C4" s="16" t="s">
        <x:v>126</x:v>
      </x:c>
      <x:c r="D4" s="16" t="s">
        <x:v>143</x:v>
      </x:c>
      <x:c r="E4" s="21" t="n">
        <x:v>32.5</x:v>
      </x:c>
      <x:c r="F4" s="17" t="n">
        <x:v>285000</x:v>
      </x:c>
      <x:c r="G4" s="16" t="s">
        <x:v>83</x:v>
      </x:c>
    </x:row>
    <x:row r="5" ht="15" hidden="0">
      <x:c r="A5" s="16" t="n">
        <x:v>45013</x:v>
      </x:c>
      <x:c r="B5" s="20" t="n">
        <x:v>46056</x:v>
      </x:c>
      <x:c r="C5" s="16" t="s">
        <x:v>126</x:v>
      </x:c>
      <x:c r="D5" s="16" t="s">
        <x:v>144</x:v>
      </x:c>
      <x:c r="E5" s="21" t="n">
        <x:v>28.75</x:v>
      </x:c>
      <x:c r="F5" s="17" t="n">
        <x:v>301000</x:v>
      </x:c>
      <x:c r="G5" s="16" t="s">
        <x:v>145</x:v>
      </x:c>
    </x:row>
    <x:row r="6" ht="15" hidden="0">
      <x:c r="A6" s="16" t="n">
        <x:v>45014</x:v>
      </x:c>
      <x:c r="B6" s="20" t="n">
        <x:v>46057</x:v>
      </x:c>
      <x:c r="C6" s="16" t="s">
        <x:v>146</x:v>
      </x:c>
      <x:c r="D6" s="16" t="s">
        <x:v>147</x:v>
      </x:c>
      <x:c r="E6" s="21" t="n">
        <x:v>30</x:v>
      </x:c>
      <x:c r="F6" s="17" t="n">
        <x:v>262000</x:v>
      </x:c>
      <x:c r="G6" s="16" t="s">
        <x:v>148</x:v>
      </x:c>
    </x:row>
    <x:row r="7" ht="15" hidden="0">
      <x:c r="A7" s="16" t="n">
        <x:v>45015</x:v>
      </x:c>
      <x:c r="B7" s="20" t="n">
        <x:v>46058</x:v>
      </x:c>
      <x:c r="C7" s="16" t="s">
        <x:v>126</x:v>
      </x:c>
      <x:c r="D7" s="16" t="s">
        <x:v>112</x:v>
      </x:c>
      <x:c r="E7" s="21" t="n">
        <x:v>26.5</x:v>
      </x:c>
      <x:c r="F7" s="17" t="n">
        <x:v>198000</x:v>
      </x:c>
      <x:c r="G7" s="16" t="s">
        <x:v>149</x:v>
      </x:c>
    </x:row>
    <x:row r="8" ht="15" hidden="0">
      <x:c r="A8" s="16" t="n">
        <x:v>45016</x:v>
      </x:c>
      <x:c r="B8" s="20" t="n">
        <x:v>46059</x:v>
      </x:c>
      <x:c r="C8" s="16" t="s">
        <x:v>146</x:v>
      </x:c>
      <x:c r="D8" s="16" t="s">
        <x:v>143</x:v>
      </x:c>
      <x:c r="E8" s="21" t="n">
        <x:v>31.25</x:v>
      </x:c>
      <x:c r="F8" s="17" t="n">
        <x:v>276000</x:v>
      </x:c>
      <x:c r="G8" s="16" t="s">
        <x:v>117</x:v>
      </x:c>
    </x:row>
    <x:row r="9" ht="15" hidden="0">
      <x:c r="A9" s="16" t="n">
        <x:v>45017</x:v>
      </x:c>
      <x:c r="B9" s="20" t="n">
        <x:v>46060</x:v>
      </x:c>
      <x:c r="C9" s="16" t="s">
        <x:v>126</x:v>
      </x:c>
      <x:c r="D9" s="16" t="s">
        <x:v>150</x:v>
      </x:c>
      <x:c r="E9" s="21" t="n">
        <x:v>29</x:v>
      </x:c>
      <x:c r="F9" s="17" t="n">
        <x:v>334000</x:v>
      </x:c>
      <x:c r="G9" s="16" t="s">
        <x:v>151</x:v>
      </x:c>
    </x:row>
    <x:row r="10" ht="15" hidden="0">
      <x:c r="A10" s="16" t="n">
        <x:v>45018</x:v>
      </x:c>
      <x:c r="B10" s="20" t="n">
        <x:v>46062</x:v>
      </x:c>
      <x:c r="C10" s="16" t="s">
        <x:v>146</x:v>
      </x:c>
      <x:c r="D10" s="16" t="s">
        <x:v>144</x:v>
      </x:c>
      <x:c r="E10" s="21" t="n">
        <x:v>27.5</x:v>
      </x:c>
      <x:c r="F10" s="17" t="n">
        <x:v>289000</x:v>
      </x:c>
      <x:c r="G10" s="16" t="s">
        <x:v>152</x:v>
      </x:c>
    </x:row>
    <x:row r="11" ht="15" hidden="0">
      <x:c r="A11" s="16" t="n">
        <x:v>45019</x:v>
      </x:c>
      <x:c r="B11" s="20" t="n">
        <x:v>46063</x:v>
      </x:c>
      <x:c r="C11" s="16" t="s">
        <x:v>126</x:v>
      </x:c>
      <x:c r="D11" s="16" t="s">
        <x:v>143</x:v>
      </x:c>
      <x:c r="E11" s="21" t="n">
        <x:v>33</x:v>
      </x:c>
      <x:c r="F11" s="17" t="n">
        <x:v>291000</x:v>
      </x:c>
      <x:c r="G11" s="16" t="s">
        <x:v>83</x:v>
      </x:c>
    </x:row>
    <x:row r="12" ht="15" hidden="0">
      <x:c r="A12" s="16" t="n">
        <x:v>45020</x:v>
      </x:c>
      <x:c r="B12" s="20" t="n">
        <x:v>46064</x:v>
      </x:c>
      <x:c r="C12" s="16" t="s">
        <x:v>126</x:v>
      </x:c>
      <x:c r="D12" s="16" t="s">
        <x:v>153</x:v>
      </x:c>
      <x:c r="E12" s="21" t="n">
        <x:v>28.25</x:v>
      </x:c>
      <x:c r="F12" s="17" t="n">
        <x:v>142000</x:v>
      </x:c>
      <x:c r="G12" s="16" t="s">
        <x:v>154</x:v>
      </x:c>
    </x:row>
    <x:row r="13" ht="15" hidden="0">
      <x:c r="A13" s="16" t="n">
        <x:v>45021</x:v>
      </x:c>
      <x:c r="B13" s="20" t="n">
        <x:v>46065</x:v>
      </x:c>
      <x:c r="C13" s="16" t="s">
        <x:v>146</x:v>
      </x:c>
      <x:c r="D13" s="16" t="s">
        <x:v>112</x:v>
      </x:c>
      <x:c r="E13" s="21" t="n">
        <x:v>28.5</x:v>
      </x:c>
      <x:c r="F13" s="17" t="n">
        <x:v>207000</x:v>
      </x:c>
      <x:c r="G13" s="16" t="s">
        <x:v>145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CA3AF"/>
  </x:sheetPr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0" hidden="0" customWidth="1"/>
    <x:col min="2" max="3" width="12" hidden="0" customWidth="1"/>
    <x:col min="4" max="4" width="13" hidden="0" customWidth="1"/>
    <x:col min="5" max="6" width="11" hidden="0" customWidth="1"/>
    <x:col min="7" max="7" width="13" hidden="0" customWidth="1"/>
  </x:cols>
  <x:sheetData>
    <x:row r="1" ht="31.5" hidden="0" customHeight="1">
      <x:c r="A1" s="15" t="s">
        <x:v>155</x:v>
      </x:c>
      <x:c r="B1" s="15" t="s">
        <x:v>156</x:v>
      </x:c>
      <x:c r="C1" s="15" t="s">
        <x:v>157</x:v>
      </x:c>
      <x:c r="D1" s="15" t="s">
        <x:v>158</x:v>
      </x:c>
      <x:c r="E1" s="15" t="s">
        <x:v>159</x:v>
      </x:c>
      <x:c r="F1" s="15" t="s">
        <x:v>160</x:v>
      </x:c>
      <x:c r="G1" s="15" t="s">
        <x:v>161</x:v>
      </x:c>
    </x:row>
    <x:row r="2" ht="15" hidden="0">
      <x:c r="A2" s="16" t="s">
        <x:v>162</x:v>
      </x:c>
      <x:c r="B2" s="16" t="s">
        <x:v>163</x:v>
      </x:c>
      <x:c r="C2" s="16" t="s">
        <x:v>143</x:v>
      </x:c>
      <x:c r="D2" s="16" t="s">
        <x:v>164</x:v>
      </x:c>
      <x:c r="E2" s="17" t="n">
        <x:v>6500</x:v>
      </x:c>
      <x:c r="F2" s="17" t="n">
        <x:v>58000</x:v>
      </x:c>
      <x:c r="G2" s="16" t="s">
        <x:v>145</x:v>
      </x:c>
    </x:row>
    <x:row r="3" ht="15" hidden="0">
      <x:c r="A3" s="16" t="s">
        <x:v>165</x:v>
      </x:c>
      <x:c r="B3" s="16" t="s">
        <x:v>163</x:v>
      </x:c>
      <x:c r="C3" s="16" t="s">
        <x:v>166</x:v>
      </x:c>
      <x:c r="D3" s="16" t="s">
        <x:v>132</x:v>
      </x:c>
      <x:c r="E3" s="17" t="n">
        <x:v>7200</x:v>
      </x:c>
      <x:c r="F3" s="17" t="n">
        <x:v>41000</x:v>
      </x:c>
      <x:c r="G3" s="16" t="s">
        <x:v>145</x:v>
      </x:c>
    </x:row>
    <x:row r="4" ht="15" hidden="0">
      <x:c r="A4" s="16" t="s">
        <x:v>167</x:v>
      </x:c>
      <x:c r="B4" s="16" t="s">
        <x:v>168</x:v>
      </x:c>
      <x:c r="C4" s="16" t="s">
        <x:v>143</x:v>
      </x:c>
      <x:c r="D4" s="16" t="s">
        <x:v>147</x:v>
      </x:c>
      <x:c r="E4" s="17" t="n">
        <x:v>5800</x:v>
      </x:c>
      <x:c r="F4" s="17" t="n">
        <x:v>32000</x:v>
      </x:c>
      <x:c r="G4" s="16" t="s">
        <x:v>169</x:v>
      </x:c>
    </x:row>
    <x:row r="5" ht="15" hidden="0">
      <x:c r="A5" s="16" t="s">
        <x:v>170</x:v>
      </x:c>
      <x:c r="B5" s="16" t="s">
        <x:v>171</x:v>
      </x:c>
      <x:c r="C5" s="16" t="s">
        <x:v>112</x:v>
      </x:c>
      <x:c r="D5" s="16" t="s">
        <x:v>143</x:v>
      </x:c>
      <x:c r="E5" s="17" t="n">
        <x:v>6900</x:v>
      </x:c>
      <x:c r="F5" s="17" t="n">
        <x:v>61000</x:v>
      </x:c>
      <x:c r="G5" s="16" t="s">
        <x:v>145</x:v>
      </x:c>
    </x:row>
    <x:row r="6" ht="15" hidden="0">
      <x:c r="A6" s="16" t="s">
        <x:v>172</x:v>
      </x:c>
      <x:c r="B6" s="16" t="s">
        <x:v>173</x:v>
      </x:c>
      <x:c r="C6" s="16" t="s">
        <x:v>164</x:v>
      </x:c>
      <x:c r="D6" s="16" t="s">
        <x:v>122</x:v>
      </x:c>
      <x:c r="E6" s="17" t="n">
        <x:v>6100</x:v>
      </x:c>
      <x:c r="F6" s="17" t="n">
        <x:v>47000</x:v>
      </x:c>
      <x:c r="G6" s="16" t="s">
        <x:v>145</x:v>
      </x:c>
    </x:row>
    <x:row r="7" ht="15" hidden="0">
      <x:c r="A7" s="16" t="s">
        <x:v>172</x:v>
      </x:c>
      <x:c r="B7" s="16" t="s">
        <x:v>173</x:v>
      </x:c>
      <x:c r="C7" s="16" t="s">
        <x:v>164</x:v>
      </x:c>
      <x:c r="D7" s="16" t="s">
        <x:v>122</x:v>
      </x:c>
      <x:c r="E7" s="17" t="n">
        <x:v>6100</x:v>
      </x:c>
      <x:c r="F7" s="17" t="n">
        <x:v>47000</x:v>
      </x:c>
      <x:c r="G7" s="16" t="s">
        <x:v>145</x:v>
      </x:c>
    </x:row>
    <x:row r="8" ht="15" hidden="0">
      <x:c r="A8" s="16" t="s">
        <x:v>174</x:v>
      </x:c>
      <x:c r="B8" s="16" t="s">
        <x:v>175</x:v>
      </x:c>
      <x:c r="C8" s="16" t="s">
        <x:v>166</x:v>
      </x:c>
      <x:c r="D8" s="16" t="s">
        <x:v>153</x:v>
      </x:c>
      <x:c r="E8" s="17" t="n">
        <x:v>7400</x:v>
      </x:c>
      <x:c r="F8" s="17" t="n">
        <x:v>83000</x:v>
      </x:c>
      <x:c r="G8" s="16" t="s">
        <x:v>152</x:v>
      </x:c>
    </x:row>
    <x:row r="9" ht="15" hidden="0">
      <x:c r="A9" s="16" t="s">
        <x:v>176</x:v>
      </x:c>
      <x:c r="B9" s="16" t="s">
        <x:v>177</x:v>
      </x:c>
      <x:c r="C9" s="16" t="s">
        <x:v>143</x:v>
      </x:c>
      <x:c r="D9" s="16" t="s">
        <x:v>178</x:v>
      </x:c>
      <x:c r="E9" s="17" t="n">
        <x:v>5900</x:v>
      </x:c>
      <x:c r="F9" s="17" t="n">
        <x:v>39000</x:v>
      </x:c>
      <x:c r="G9" s="16" t="s">
        <x:v>145</x:v>
      </x:c>
    </x:row>
    <x:row r="10" ht="15" hidden="0">
      <x:c r="A10" s="16" t="s">
        <x:v>179</x:v>
      </x:c>
      <x:c r="B10" s="16" t="s">
        <x:v>180</x:v>
      </x:c>
      <x:c r="C10" s="16" t="s">
        <x:v>109</x:v>
      </x:c>
      <x:c r="D10" s="16" t="s">
        <x:v>166</x:v>
      </x:c>
      <x:c r="E10" s="17" t="n">
        <x:v>6600</x:v>
      </x:c>
      <x:c r="F10" s="17" t="n">
        <x:v>92000</x:v>
      </x:c>
      <x:c r="G10" s="16" t="s">
        <x:v>181</x:v>
      </x:c>
    </x:row>
    <x:row r="11" ht="15" hidden="0">
      <x:c r="A11" s="16" t="s">
        <x:v>182</x:v>
      </x:c>
      <x:c r="B11" s="16" t="s">
        <x:v>183</x:v>
      </x:c>
      <x:c r="C11" s="16" t="s">
        <x:v>147</x:v>
      </x:c>
      <x:c r="D11" s="16" t="s">
        <x:v>112</x:v>
      </x:c>
      <x:c r="E11" s="17" t="n">
        <x:v>6200</x:v>
      </x:c>
      <x:c r="F11" s="17" t="n">
        <x:v>44000</x:v>
      </x:c>
      <x:c r="G11" s="16" t="s">
        <x:v>184</x:v>
      </x:c>
    </x:row>
    <x:row r="12" ht="15" hidden="0">
      <x:c r="A12" s="16" t="s">
        <x:v>185</x:v>
      </x:c>
      <x:c r="B12" s="16" t="s">
        <x:v>186</x:v>
      </x:c>
      <x:c r="C12" s="16" t="s">
        <x:v>143</x:v>
      </x:c>
      <x:c r="D12" s="16" t="s">
        <x:v>187</x:v>
      </x:c>
      <x:c r="E12" s="17" t="n">
        <x:v>7000</x:v>
      </x:c>
      <x:c r="F12" s="17" t="n">
        <x:v>27000</x:v>
      </x:c>
      <x:c r="G12" s="16" t="s">
        <x:v>145</x:v>
      </x:c>
    </x:row>
    <x:row r="13" ht="15" hidden="0">
      <x:c r="A13" s="16" t="s">
        <x:v>188</x:v>
      </x:c>
      <x:c r="B13" s="16" t="s">
        <x:v>189</x:v>
      </x:c>
      <x:c r="C13" s="16" t="s">
        <x:v>166</x:v>
      </x:c>
      <x:c r="D13" s="16" t="s">
        <x:v>132</x:v>
      </x:c>
      <x:c r="E13" s="17" t="n">
        <x:v>5500</x:v>
      </x:c>
      <x:c r="F13" s="17" t="n">
        <x:v>36000</x:v>
      </x:c>
      <x:c r="G13" s="16" t="s">
        <x:v>190</x:v>
      </x:c>
    </x:row>
    <x:row r="14" ht="15" hidden="0">
      <x:c r="A14" s="16" t="s">
        <x:v>191</x:v>
      </x:c>
      <x:c r="B14" s="16" t="s">
        <x:v>192</x:v>
      </x:c>
      <x:c r="C14" s="16" t="s">
        <x:v>144</x:v>
      </x:c>
      <x:c r="D14" s="16" t="s">
        <x:v>193</x:v>
      </x:c>
      <x:c r="E14" s="17" t="n">
        <x:v>5800</x:v>
      </x:c>
      <x:c r="F14" s="17" t="n">
        <x:v>45000</x:v>
      </x:c>
      <x:c r="G14" s="16" t="s">
        <x:v>145</x:v>
      </x:c>
    </x:row>
    <x:row r="15" ht="15" hidden="0">
      <x:c r="A15" s="16"/>
      <x:c r="B15" s="16"/>
      <x:c r="C15" s="16"/>
      <x:c r="D15" s="16"/>
      <x:c r="E15" s="17"/>
      <x:c r="F15" s="17"/>
      <x:c r="G15" s="16"/>
    </x:row>
    <x:row r="16" ht="15" hidden="0">
      <x:c r="A16" s="16" t="s">
        <x:v>194</x:v>
      </x:c>
      <x:c r="B16" s="16"/>
      <x:c r="C16" s="16"/>
      <x:c r="D16" s="16"/>
      <x:c r="E16" s="17" t="n">
        <x:v>83000</x:v>
      </x:c>
      <x:c r="F16" s="17" t="n">
        <x:v>652000</x:v>
      </x:c>
      <x:c r="G16" s="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4" hidden="0" customWidth="1"/>
    <x:col min="2" max="2" width="11" hidden="0" customWidth="1"/>
    <x:col min="3" max="3" width="20" hidden="0" customWidth="1"/>
    <x:col min="4" max="5" width="40" hidden="0" customWidth="1"/>
    <x:col min="6" max="6" width="12" hidden="0" customWidth="1"/>
    <x:col min="7" max="7" width="34" hidden="0" customWidth="1"/>
  </x:cols>
  <x:sheetData>
    <x:row r="1" ht="27.75" hidden="0" customHeight="1">
      <x:c r="A1" s="55" t="s">
        <x:v>195</x:v>
      </x:c>
      <x:c r="B1" s="56"/>
      <x:c r="C1" s="56"/>
      <x:c r="D1" s="56"/>
      <x:c r="E1" s="56"/>
      <x:c r="F1" s="56"/>
      <x:c r="G1" s="56"/>
    </x:row>
    <x:row r="2" ht="43.5" hidden="0" customHeight="1">
      <x:c r="A2" s="57" t="s">
        <x:v>196</x:v>
      </x:c>
      <x:c r="B2" s="57"/>
      <x:c r="C2" s="57"/>
      <x:c r="D2" s="57"/>
      <x:c r="E2" s="57"/>
      <x:c r="F2" s="57"/>
      <x:c r="G2" s="57"/>
    </x:row>
    <x:row r="3">
      <x:c r="A3" s="56"/>
      <x:c r="B3" s="56"/>
      <x:c r="C3" s="56"/>
      <x:c r="D3" s="56"/>
      <x:c r="E3" s="56"/>
      <x:c r="F3" s="56"/>
      <x:c r="G3" s="56"/>
    </x:row>
    <x:row r="4" ht="31.5" hidden="0" customHeight="1">
      <x:c r="A4" s="58" t="s">
        <x:v>11</x:v>
      </x:c>
      <x:c r="B4" s="58" t="s">
        <x:v>197</x:v>
      </x:c>
      <x:c r="C4" s="58" t="s">
        <x:v>198</x:v>
      </x:c>
      <x:c r="D4" s="58" t="s">
        <x:v>199</x:v>
      </x:c>
      <x:c r="E4" s="58" t="s">
        <x:v>200</x:v>
      </x:c>
      <x:c r="F4" s="58" t="s">
        <x:v>201</x:v>
      </x:c>
      <x:c r="G4" s="58" t="s">
        <x:v>202</x:v>
      </x:c>
    </x:row>
    <x:row r="5" ht="68" hidden="0" customHeight="1">
      <x:c r="A5" s="59" t="n">
        <x:v>1</x:v>
      </x:c>
      <x:c r="B5" s="60" t="s">
        <x:v>203</x:v>
      </x:c>
      <x:c r="C5" s="60" t="s">
        <x:v>204</x:v>
      </x:c>
      <x:c r="D5" s="60" t="s">
        <x:v>205</x:v>
      </x:c>
      <x:c r="E5" s="60" t="s">
        <x:v>206</x:v>
      </x:c>
      <x:c r="F5" s="60" t="s">
        <x:v>207</x:v>
      </x:c>
      <x:c r="G5" s="60" t="s">
        <x:v>208</x:v>
      </x:c>
    </x:row>
    <x:row r="6" ht="68" hidden="0" customHeight="1">
      <x:c r="A6" s="59" t="n">
        <x:v>2</x:v>
      </x:c>
      <x:c r="B6" s="61" t="str">
        <x:v>Marine</x:v>
      </x:c>
      <x:c r="C6" s="61" t="str">
        <x:v>Status / physical line 3</x:v>
      </x:c>
      <x:c r="D6" s="61" t="str">
        <x:v>Trailing space: DELIVERED </x:v>
      </x:c>
      <x:c r="E6" s="61" t="str">
        <x:v>Splits one status into multiple categories</x:v>
      </x:c>
      <x:c r="F6" s="61" t="str">
        <x:v>Staging</x:v>
      </x:c>
      <x:c r="G6" s="61" t="str">
        <x:v>TRIM before PROPER</x:v>
      </x:c>
    </x:row>
    <x:row r="7" ht="68" hidden="0" customHeight="1">
      <x:c r="A7" s="59" t="n">
        <x:v>3</x:v>
      </x:c>
      <x:c r="B7" s="61" t="str">
        <x:v>Marine</x:v>
      </x:c>
      <x:c r="C7" s="61" t="str">
        <x:v>Status / line 6</x:v>
      </x:c>
      <x:c r="D7" s="61" t="str">
        <x:v>Leading space:  DELIVERED</x:v>
      </x:c>
      <x:c r="E7" s="61" t="str">
        <x:v>Delivered filter can miss a real shipment</x:v>
      </x:c>
      <x:c r="F7" s="61" t="str">
        <x:v>Staging</x:v>
      </x:c>
      <x:c r="G7" s="61" t="str">
        <x:v>TRIM then PROPER</x:v>
      </x:c>
    </x:row>
    <x:row r="8" ht="68" hidden="0" customHeight="1">
      <x:c r="A8" s="59" t="n">
        <x:v>4</x:v>
      </x:c>
      <x:c r="B8" s="61" t="str">
        <x:v>Marine</x:v>
      </x:c>
      <x:c r="C8" s="61" t="str">
        <x:v>Headers and Status / all rows</x:v>
      </x:c>
      <x:c r="D8" s="61" t="str">
        <x:v>Source-specific names and uppercase IN TRANSIT</x:v>
      </x:c>
      <x:c r="E8" s="61" t="str">
        <x:v>Append creates unmatched columns; inconsistent labels</x:v>
      </x:c>
      <x:c r="F8" s="61" t="str">
        <x:v>Staging</x:v>
      </x:c>
      <x:c r="G8" s="61" t="str">
        <x:v>Rename to contract; PROPER(TRIM(status))</x:v>
      </x:c>
    </x:row>
    <x:row r="9" ht="68" hidden="0" customHeight="1">
      <x:c r="A9" s="59" t="n">
        <x:v>5</x:v>
      </x:c>
      <x:c r="B9" s="61" t="str">
        <x:v>Rail</x:v>
      </x:c>
      <x:c r="C9" s="61" t="str">
        <x:v>Worksheet rows 1–2</x:v>
      </x:c>
      <x:c r="D9" s="61" t="str">
        <x:v>Title and unit description precede header</x:v>
      </x:c>
      <x:c r="E9" s="61" t="str">
        <x:v>Automatic promotion uses title as column name</x:v>
      </x:c>
      <x:c r="F9" s="61" t="str">
        <x:v>Staging</x:v>
      </x:c>
      <x:c r="G9" s="61" t="str">
        <x:v>Remove top 2 rows, promote row 3</x:v>
      </x:c>
    </x:row>
    <x:row r="10" ht="68" hidden="0" customHeight="1">
      <x:c r="A10" s="59" t="n">
        <x:v>6</x:v>
      </x:c>
      <x:c r="B10" s="61" t="str">
        <x:v>Rail</x:v>
      </x:c>
      <x:c r="C10" s="61" t="str">
        <x:v>Weight (Tons), row 4</x:v>
      </x:c>
      <x:c r="D10" s="61" t="str">
        <x:v>32.5 is tonnes, not kg</x:v>
      </x:c>
      <x:c r="E10" s="61" t="str">
        <x:v>Understates rail volume by a factor of 1,000</x:v>
      </x:c>
      <x:c r="F10" s="61" t="str">
        <x:v>Staging</x:v>
      </x:c>
      <x:c r="G10" s="61" t="str">
        <x:v>WeightKG = raw tonnes * 1000</x:v>
      </x:c>
    </x:row>
    <x:row r="11" ht="68" hidden="0" customHeight="1">
      <x:c r="A11" s="59" t="n">
        <x:v>7</x:v>
      </x:c>
      <x:c r="B11" s="61" t="str">
        <x:v>Rail</x:v>
      </x:c>
      <x:c r="C11" s="61" t="str">
        <x:v>Consignment No, row 4</x:v>
      </x:c>
      <x:c r="D11" s="61" t="str">
        <x:v>45012 is numeric; no mode prefix</x:v>
      </x:c>
      <x:c r="E11" s="61" t="str">
        <x:v>Inconsistent ID type and possible cross-mode collisions</x:v>
      </x:c>
      <x:c r="F11" s="61" t="str">
        <x:v>Staging</x:v>
      </x:c>
      <x:c r="G11" s="61" t="str">
        <x:v>Convert to text and prefix RL-</x:v>
      </x:c>
    </x:row>
    <x:row r="12" ht="68" hidden="0" customHeight="1">
      <x:c r="A12" s="59" t="n">
        <x:v>8</x:v>
      </x:c>
      <x:c r="B12" s="61" t="str">
        <x:v>Rail</x:v>
      </x:c>
      <x:c r="C12" s="61" t="str">
        <x:v>Status, rows 5, 7, 12</x:v>
      </x:c>
      <x:c r="D12" s="61" t="str">
        <x:v>delivered /  Delivered / in Transit</x:v>
      </x:c>
      <x:c r="E12" s="61" t="str">
        <x:v>Case and whitespace fragment categories</x:v>
      </x:c>
      <x:c r="F12" s="61" t="str">
        <x:v>Staging</x:v>
      </x:c>
      <x:c r="G12" s="61" t="str">
        <x:v>PROPER(TRIM(status))</x:v>
      </x:c>
    </x:row>
    <x:row r="13" ht="68" hidden="0" customHeight="1">
      <x:c r="A13" s="59" t="n">
        <x:v>9</x:v>
      </x:c>
      <x:c r="B13" s="61" t="str">
        <x:v>Road</x:v>
      </x:c>
      <x:c r="C13" s="61" t="str">
        <x:v>trip_id / line 2</x:v>
      </x:c>
      <x:c r="D13" s="61" t="str">
        <x:v>rd-501 is lowercase; schema uses trip_* names</x:v>
      </x:c>
      <x:c r="E13" s="61" t="str">
        <x:v>IDs/schema differ from target contract</x:v>
      </x:c>
      <x:c r="F13" s="61" t="str">
        <x:v>Staging</x:v>
      </x:c>
      <x:c r="G13" s="61" t="str">
        <x:v>UPPER(TRIM(ID)); rename columns</x:v>
      </x:c>
    </x:row>
    <x:row r="14" ht="68" hidden="0" customHeight="1">
      <x:c r="A14" s="59" t="n">
        <x:v>10</x:v>
      </x:c>
      <x:c r="B14" s="61" t="str">
        <x:v>Road</x:v>
      </x:c>
      <x:c r="C14" s="61" t="str">
        <x:v>trip_date / line 2</x:v>
      </x:c>
      <x:c r="D14" s="61" t="str">
        <x:v>2026-02-02 is ISO text</x:v>
      </x:c>
      <x:c r="E14" s="61" t="str">
        <x:v>Text dates cannot reliably join Date dimension</x:v>
      </x:c>
      <x:c r="F14" s="61" t="str">
        <x:v>Staging</x:v>
      </x:c>
      <x:c r="G14" s="61" t="str">
        <x:v>Parse explicit year/month/day</x:v>
      </x:c>
    </x:row>
    <x:row r="15" ht="68" hidden="0" customHeight="1">
      <x:c r="A15" s="59" t="n">
        <x:v>11</x:v>
      </x:c>
      <x:c r="B15" s="61" t="str">
        <x:v>Road</x:v>
      </x:c>
      <x:c r="C15" s="61" t="str">
        <x:v>Physical line 7; staging row 10</x:v>
      </x:c>
      <x:c r="D15" s="61" t="str">
        <x:v>Second identical rd-505, 6,100 kg</x:v>
      </x:c>
      <x:c r="E15" s="61" t="str">
        <x:v>Double-counts a trip and 6.1 tonnes</x:v>
      </x:c>
      <x:c r="F15" s="61" t="str">
        <x:v>Staging</x:v>
      </x:c>
      <x:c r="G15" s="61" t="str">
        <x:v>Keep first ID occurrence; log second</x:v>
      </x:c>
    </x:row>
    <x:row r="16" ht="68" hidden="0" customHeight="1">
      <x:c r="A16" s="59" t="n">
        <x:v>12</x:v>
      </x:c>
      <x:c r="B16" s="61" t="str">
        <x:v>Road</x:v>
      </x:c>
      <x:c r="C16" s="61" t="str">
        <x:v>Lines 15–16; staging rows 18–19</x:v>
      </x:c>
      <x:c r="D16" s="61" t="str">
        <x:v>Empty record; TOTAL=83,000 with missing date/status</x:v>
      </x:c>
      <x:c r="E16" s="61" t="str">
        <x:v>Adds a fake shipment and aggregate weight</x:v>
      </x:c>
      <x:c r="F16" s="61" t="str">
        <x:v>Staging</x:v>
      </x:c>
      <x:c r="G16" s="61" t="str">
        <x:v>Quarantine blank and TOTAL separately; retain reasons</x:v>
      </x:c>
    </x:row>
    <x:row r="17">
      <x:c r="A17" s="56"/>
      <x:c r="B17" s="56"/>
      <x:c r="C17" s="56"/>
      <x:c r="D17" s="56"/>
      <x:c r="E17" s="56"/>
      <x:c r="F17" s="56"/>
      <x:c r="G17" s="56"/>
    </x:row>
    <x:row r="18" ht="15" hidden="0">
      <x:c r="A18" s="56"/>
      <x:c r="B18" s="56"/>
      <x:c r="C18" s="56"/>
      <x:c r="D18" s="62" t="s">
        <x:v>209</x:v>
      </x:c>
      <x:c r="E18" s="63" t="n">
        <x:f aca="0">COUNTA(D5:D16)</x:f>
        <x:v>12</x:v>
      </x:c>
      <x:c r="F18" s="56"/>
      <x:c r="G18" s="56"/>
    </x:row>
  </x:sheetData>
  <x:mergeCells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44" hidden="0" customWidth="1"/>
    <x:col min="3" max="3" width="22" hidden="0" customWidth="1"/>
    <x:col min="4" max="4" width="12" hidden="0" customWidth="1"/>
    <x:col min="5" max="5" width="16" hidden="0" customWidth="1"/>
    <x:col min="6" max="6" width="34" hidden="0" customWidth="1"/>
  </x:cols>
  <x:sheetData>
    <x:row r="1" ht="27.75" hidden="0" customHeight="1">
      <x:c r="A1" s="55" t="s">
        <x:v>210</x:v>
      </x:c>
      <x:c r="B1" s="56"/>
      <x:c r="C1" s="56"/>
      <x:c r="D1" s="56"/>
      <x:c r="E1" s="56"/>
      <x:c r="F1" s="56"/>
    </x:row>
    <x:row r="2" ht="43.5" hidden="0" customHeight="1">
      <x:c r="A2" s="57" t="s">
        <x:v>211</x:v>
      </x:c>
      <x:c r="B2" s="57"/>
      <x:c r="C2" s="57"/>
      <x:c r="D2" s="57"/>
      <x:c r="E2" s="57"/>
      <x:c r="F2" s="57"/>
    </x:row>
    <x:row r="3">
      <x:c r="A3" s="56"/>
      <x:c r="B3" s="56"/>
      <x:c r="C3" s="56"/>
      <x:c r="D3" s="56"/>
      <x:c r="E3" s="56"/>
      <x:c r="F3" s="56"/>
    </x:row>
    <x:row r="4" ht="31.5" hidden="0" customHeight="1">
      <x:c r="A4" s="58" t="s">
        <x:v>212</x:v>
      </x:c>
      <x:c r="B4" s="58" t="s">
        <x:v>213</x:v>
      </x:c>
      <x:c r="C4" s="58" t="s">
        <x:v>214</x:v>
      </x:c>
      <x:c r="D4" s="58" t="s">
        <x:v>215</x:v>
      </x:c>
      <x:c r="E4" s="58" t="s">
        <x:v>216</x:v>
      </x:c>
      <x:c r="F4" s="58" t="s">
        <x:v>217</x:v>
      </x:c>
    </x:row>
    <x:row r="5" ht="43.5" hidden="0" customHeight="1">
      <x:c r="A5" s="63" t="s">
        <x:v>218</x:v>
      </x:c>
      <x:c r="B5" s="60" t="s">
        <x:v>219</x:v>
      </x:c>
      <x:c r="C5" s="64" t="n">
        <x:f>SUM(Marine_Raw!E2:E13)+SUM(Rail_Raw!E4:E13)*1000+SUM(Road_Raw!E2:E16)-Road_Raw!E7</x:f>
        <x:v>661650</x:v>
      </x:c>
      <x:c r="D5" s="65" t="n">
        <x:f aca="0">IF(C5="","",C5/1000)</x:f>
        <x:v>661.65</x:v>
      </x:c>
      <x:c r="E5" s="66" t="n">
        <x:f aca="0">IF(C5="","",D5-$D$9)</x:f>
        <x:v>83</x:v>
      </x:c>
      <x:c r="F5" s="67" t="s">
        <x:v>220</x:v>
      </x:c>
    </x:row>
    <x:row r="6" ht="43.5" hidden="0" customHeight="1">
      <x:c r="A6" s="63" t="s">
        <x:v>221</x:v>
      </x:c>
      <x:c r="B6" s="60" t="s">
        <x:v>222</x:v>
      </x:c>
      <x:c r="C6" s="64" t="n">
        <x:f>SUM(Marine_Raw!E2:E13)+SUM(Rail_Raw!E4:E13)+SUM(Road_Raw!E2:E14)-Road_Raw!E7</x:f>
        <x:v>283695.25</x:v>
      </x:c>
      <x:c r="D6" s="65" t="n">
        <x:f aca="0">IF(C6="","",C6/1000)</x:f>
        <x:v>283.69525</x:v>
      </x:c>
      <x:c r="E6" s="66" t="n">
        <x:f aca="0">IF(C6="","",D6-$D$9)</x:f>
        <x:v>-294.95475</x:v>
      </x:c>
      <x:c r="F6" s="67" t="s">
        <x:v>223</x:v>
      </x:c>
    </x:row>
    <x:row r="7" ht="43.5" hidden="0" customHeight="1">
      <x:c r="A7" s="63" t="s">
        <x:v>224</x:v>
      </x:c>
      <x:c r="B7" s="60" t="s">
        <x:v>225</x:v>
      </x:c>
      <x:c r="C7" s="64" t="n">
        <x:f>SUM(Marine_Raw!E2:E13)+SUM(Rail_Raw!E4:E13)*1000+SUM(Road_Raw!E2:E14)</x:f>
        <x:v>584750</x:v>
      </x:c>
      <x:c r="D7" s="65" t="n">
        <x:f aca="0">IF(C7="","",C7/1000)</x:f>
        <x:v>584.75</x:v>
      </x:c>
      <x:c r="E7" s="66" t="n">
        <x:f aca="0">IF(C7="","",D7-$D$9)</x:f>
        <x:v>6.100000000000023</x:v>
      </x:c>
      <x:c r="F7" s="67" t="s">
        <x:v>226</x:v>
      </x:c>
    </x:row>
    <x:row r="8">
      <x:c r="A8" s="56"/>
      <x:c r="B8" s="56"/>
      <x:c r="C8" s="56"/>
      <x:c r="D8" s="56"/>
      <x:c r="E8" s="56"/>
      <x:c r="F8" s="56"/>
    </x:row>
    <x:row r="9" ht="23.850000381469727" hidden="0">
      <x:c r="A9" s="68" t="s">
        <x:v>227</x:v>
      </x:c>
      <x:c r="B9" s="69" t="s">
        <x:v>228</x:v>
      </x:c>
      <x:c r="C9" s="70" t="n">
        <x:v>578650</x:v>
      </x:c>
      <x:c r="D9" s="71" t="n">
        <x:f aca="0">C9/1000</x:f>
        <x:v>578.65</x:v>
      </x:c>
      <x:c r="E9" s="69"/>
      <x:c r="F9" s="69"/>
    </x:row>
    <x:row r="10">
      <x:c r="A10" s="56"/>
      <x:c r="B10" s="56"/>
      <x:c r="C10" s="56"/>
      <x:c r="D10" s="56"/>
      <x:c r="E10" s="56"/>
      <x:c r="F10" s="56"/>
    </x:row>
    <x:row r="11" ht="15" hidden="0">
      <x:c r="A11" s="72" t="s">
        <x:v>229</x:v>
      </x:c>
      <x:c r="B11" s="56"/>
      <x:c r="C11" s="56"/>
      <x:c r="D11" s="56"/>
      <x:c r="E11" s="56"/>
      <x:c r="F11" s="56"/>
    </x:row>
    <x:row r="12" ht="15" hidden="0" customHeight="1">
      <x:c r="A12" s="63" t="s">
        <x:v>230</x:v>
      </x:c>
      <x:c r="B12" s="63"/>
      <x:c r="C12" s="63"/>
      <x:c r="D12" s="63"/>
      <x:c r="E12" s="63"/>
      <x:c r="F12" s="63"/>
    </x:row>
    <x:row r="13" ht="34" hidden="0" customHeight="1">
      <x:c r="A13" s="61" t="str">
        <x:v>Each department used its own units and row rules, with no shared quality checkpoint.</x:v>
      </x:c>
      <x:c r="B13" s="61"/>
      <x:c r="C13" s="61"/>
      <x:c r="D13" s="61"/>
      <x:c r="E13" s="61"/>
      <x:c r="F13" s="61"/>
    </x:row>
    <x:row r="14" ht="34" hidden="0" customHeight="1">
      <x:c r="A14" s="63" t="s">
        <x:v>231</x:v>
      </x:c>
      <x:c r="B14" s="63"/>
      <x:c r="C14" s="63"/>
      <x:c r="D14" s="63"/>
      <x:c r="E14" s="63"/>
      <x:c r="F14" s="63"/>
    </x:row>
    <x:row r="15" ht="34" hidden="0" customHeight="1">
      <x:c r="A15" s="61" t="str">
        <x:v>Finance: rail unit misreading loses 294,954.75 kg and can inflate cost per tonne.</x:v>
      </x:c>
      <x:c r="B15" s="61"/>
      <x:c r="C15" s="61"/>
      <x:c r="D15" s="61"/>
      <x:c r="E15" s="61"/>
      <x:c r="F15" s="61"/>
    </x:row>
    <x:row r="16" ht="34" hidden="0" customHeight="1">
      <x:c r="A16" s="63" t="s">
        <x:v>232</x:v>
      </x:c>
      <x:c r="B16" s="63"/>
      <x:c r="C16" s="63"/>
      <x:c r="D16" s="63"/>
      <x:c r="E16" s="63"/>
      <x:c r="F16" s="63"/>
    </x:row>
    <x:row r="17" ht="34" hidden="0" customHeight="1">
      <x:c r="A17" s="61" t="str">
        <x:v>Shared staging and integrated storage feed dependent marts with agreed grain and units.</x:v>
      </x:c>
      <x:c r="B17" s="61"/>
      <x:c r="C17" s="61"/>
      <x:c r="D17" s="61"/>
      <x:c r="E17" s="61"/>
      <x:c r="F17" s="61"/>
    </x:row>
    <x:row r="18" ht="34" hidden="0" customHeight="1">
      <x:c r="A18" s="63" t="s">
        <x:v>233</x:v>
      </x:c>
      <x:c r="B18" s="63"/>
      <x:c r="C18" s="63"/>
      <x:c r="D18" s="63"/>
      <x:c r="E18" s="63"/>
      <x:c r="F18" s="63"/>
    </x:row>
    <x:row r="19" ht="34" hidden="0" customHeight="1">
      <x:c r="A19" s="61" t="str">
        <x:v>The business/data steward agrees shipment and delivered definitions with the departments.</x:v>
      </x:c>
      <x:c r="B19" s="61"/>
      <x:c r="C19" s="61"/>
      <x:c r="D19" s="61"/>
      <x:c r="E19" s="61"/>
      <x:c r="F19" s="61"/>
    </x:row>
  </x:sheetData>
  <x:mergeCells>
    <x:mergeCell ref="A2:F2"/>
    <x:mergeCell ref="A12:F12"/>
    <x:mergeCell ref="A13:F13"/>
    <x:mergeCell ref="A14:F14"/>
    <x:mergeCell ref="A15:F15"/>
    <x:mergeCell ref="A16:F16"/>
    <x:mergeCell ref="A17:F17"/>
    <x:mergeCell ref="A18:F18"/>
    <x:mergeCell ref="A19:F19"/>
  </x:mergeCells>
  <x:pageMargins left="0.7" right="0.7" top="0.75" bottom="0.75" header="0.3" footer="0.3"/>
  <x:legacyDrawing xmlns:r="http://schemas.openxmlformats.org/officeDocument/2006/relationships" r:id="R8830d87fb874411e"/>
</x:worksheet>
</file>

<file path=xl/worksheets/sheet7.xml><?xml version="1.0" encoding="utf-8"?>
<x:worksheet xmlns:x="http://schemas.openxmlformats.org/spreadsheetml/2006/main">
  <x:sheetViews>
    <x:sheetView showGridLines="1" workbookViewId="0">
      <x:pane xSplit="7" ySplit="4" topLeftCell="H5" activePane="bottomRight" state="frozen"/>
    </x:sheetView>
  </x:sheetViews>
  <x:sheetFormatPr defaultColWidth="8.6796875" defaultRowHeight="15"/>
  <x:cols>
    <x:col min="1" max="2" width="12" hidden="0" customWidth="1"/>
    <x:col min="3" max="3" width="15" hidden="0" customWidth="1"/>
    <x:col min="4" max="4" width="17" hidden="0" customWidth="1"/>
    <x:col min="5" max="6" width="11" hidden="0" customWidth="1"/>
    <x:col min="7" max="7" width="12" hidden="0" customWidth="1"/>
    <x:col min="8" max="8" width="11" hidden="0" customWidth="1"/>
    <x:col min="9" max="9" width="12" hidden="0" customWidth="1"/>
    <x:col min="10" max="10" width="15" hidden="0" customWidth="1"/>
    <x:col min="11" max="11" width="17" hidden="0" customWidth="1"/>
    <x:col min="12" max="14" width="11" hidden="0" customWidth="1"/>
    <x:col min="15" max="15" width="12" hidden="0" customWidth="1"/>
    <x:col min="16" max="16" width="10" hidden="0" customWidth="1"/>
    <x:col min="17" max="17" width="22" hidden="0" customWidth="1"/>
    <x:col min="18" max="18" width="110" hidden="0" customWidth="1"/>
  </x:cols>
  <x:sheetData>
    <x:row r="1" ht="27.75" hidden="0" customHeight="1">
      <x:c r="A1" s="1" t="s">
        <x:v>234</x:v>
      </x:c>
    </x:row>
    <x:row r="2" ht="43.5" hidden="0" customHeight="1">
      <x:c r="A2" s="2" t="s">
        <x:v>235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hidden="0">
      <x:c r="A3" s="31" t="s">
        <x:v>236</x:v>
      </x:c>
      <x:c r="B3" s="31"/>
      <x:c r="C3" s="31"/>
      <x:c r="D3" s="31"/>
      <x:c r="E3" s="31"/>
      <x:c r="F3" s="31"/>
      <x:c r="G3" s="31"/>
      <x:c r="H3" s="32" t="s">
        <x:v>237</x:v>
      </x:c>
      <x:c r="I3" s="32"/>
      <x:c r="J3" s="32"/>
      <x:c r="K3" s="32"/>
      <x:c r="L3" s="32"/>
      <x:c r="M3" s="32"/>
      <x:c r="N3" s="32"/>
      <x:c r="O3" s="32"/>
    </x:row>
    <x:row r="4" ht="31.5" hidden="0" customHeight="1">
      <x:c r="A4" s="15" t="s">
        <x:v>87</x:v>
      </x:c>
      <x:c r="B4" s="15" t="s">
        <x:v>88</x:v>
      </x:c>
      <x:c r="C4" s="15" t="s">
        <x:v>89</x:v>
      </x:c>
      <x:c r="D4" s="15" t="s">
        <x:v>90</x:v>
      </x:c>
      <x:c r="E4" s="15" t="s">
        <x:v>91</x:v>
      </x:c>
      <x:c r="F4" s="15" t="s">
        <x:v>92</x:v>
      </x:c>
      <x:c r="G4" s="15" t="s">
        <x:v>81</x:v>
      </x:c>
      <x:c r="H4" s="6" t="s">
        <x:v>64</x:v>
      </x:c>
      <x:c r="I4" s="6" t="s">
        <x:v>68</x:v>
      </x:c>
      <x:c r="J4" s="6" t="s">
        <x:v>72</x:v>
      </x:c>
      <x:c r="K4" s="6" t="s">
        <x:v>73</x:v>
      </x:c>
      <x:c r="L4" s="6" t="s">
        <x:v>74</x:v>
      </x:c>
      <x:c r="M4" s="6" t="s">
        <x:v>78</x:v>
      </x:c>
      <x:c r="N4" s="6" t="s">
        <x:v>81</x:v>
      </x:c>
      <x:c r="O4" s="6" t="s">
        <x:v>84</x:v>
      </x:c>
      <x:c r="R4" s="27" t="s">
        <x:v>238</x:v>
      </x:c>
    </x:row>
    <x:row r="5" ht="15" hidden="0">
      <x:c r="A5" s="16" t="s">
        <x:v>93</x:v>
      </x:c>
      <x:c r="B5" s="16" t="s">
        <x:v>94</x:v>
      </x:c>
      <x:c r="C5" s="16" t="s">
        <x:v>95</x:v>
      </x:c>
      <x:c r="D5" s="16" t="s">
        <x:v>96</x:v>
      </x:c>
      <x:c r="E5" s="33" t="n">
        <x:v>18000</x:v>
      </x:c>
      <x:c r="F5" s="17" t="n">
        <x:v>142000</x:v>
      </x:c>
      <x:c r="G5" s="16" t="s">
        <x:v>97</x:v>
      </x:c>
      <x:c r="H5" s="34" t="str">
        <x:f aca="0">A5</x:f>
        <x:v>MR-1001</x:v>
      </x:c>
      <x:c r="I5" s="78" t="n">
        <x:f>DATE(VALUE(RIGHT(B5,4)),VALUE(MID(B5,4,2)),VALUE(LEFT(B5,2)))</x:f>
        <x:v>46054</x:v>
      </x:c>
      <x:c r="J5" s="34" t="str">
        <x:f aca="0">C5</x:f>
        <x:v>Karachi Port</x:v>
      </x:c>
      <x:c r="K5" s="34" t="str">
        <x:f aca="0">D5</x:f>
        <x:v>Lahore Dry Port</x:v>
      </x:c>
      <x:c r="L5" s="36" t="n">
        <x:f aca="0">E5</x:f>
        <x:v>18000</x:v>
      </x:c>
      <x:c r="M5" s="36" t="n">
        <x:f aca="0">F5</x:f>
        <x:v>142000</x:v>
      </x:c>
      <x:c r="N5" s="37" t="str">
        <x:f>PROPER(TRIM(G5))</x:f>
        <x:v>Delivered</x:v>
      </x:c>
      <x:c r="O5" s="37" t="str">
        <x:f>"Marine"</x:f>
        <x:v>Marine</x:v>
      </x:c>
      <x:c r="R5" s="38" t="s">
        <x:v>239</x:v>
      </x:c>
    </x:row>
    <x:row r="6" ht="15" hidden="0">
      <x:c r="A6" s="16" t="s">
        <x:v>98</x:v>
      </x:c>
      <x:c r="B6" s="16" t="s">
        <x:v>99</x:v>
      </x:c>
      <x:c r="C6" s="16" t="s">
        <x:v>100</x:v>
      </x:c>
      <x:c r="D6" s="16" t="s">
        <x:v>101</x:v>
      </x:c>
      <x:c r="E6" s="33" t="n">
        <x:v>22500</x:v>
      </x:c>
      <x:c r="F6" s="17" t="n">
        <x:v>171000</x:v>
      </x:c>
      <x:c r="G6" s="16" t="s">
        <x:v>102</x:v>
      </x:c>
      <x:c r="H6" s="34" t="str">
        <x:f aca="0">A6</x:f>
        <x:v>MR-1002</x:v>
      </x:c>
      <x:c r="I6" s="78" t="n">
        <x:f>DATE(VALUE(RIGHT(B6,4)),VALUE(MID(B6,4,2)),VALUE(LEFT(B6,2)))</x:f>
        <x:v>46055</x:v>
      </x:c>
      <x:c r="J6" s="34" t="str">
        <x:f aca="0">C6</x:f>
        <x:v>Port Qasim</x:v>
      </x:c>
      <x:c r="K6" s="34" t="str">
        <x:f aca="0">D6</x:f>
        <x:v>Faisalabad Dry Port</x:v>
      </x:c>
      <x:c r="L6" s="36" t="n">
        <x:f aca="0">E6</x:f>
        <x:v>22500</x:v>
      </x:c>
      <x:c r="M6" s="36" t="n">
        <x:f aca="0">F6</x:f>
        <x:v>171000</x:v>
      </x:c>
      <x:c r="N6" s="37" t="str">
        <x:f>PROPER(TRIM(G6))</x:f>
        <x:v>Delivered</x:v>
      </x:c>
      <x:c r="O6" s="37" t="str">
        <x:f>"Marine"</x:f>
        <x:v>Marine</x:v>
      </x:c>
      <x:c r="R6" s="38" t="s">
        <x:v>240</x:v>
      </x:c>
    </x:row>
    <x:row r="7" ht="15" hidden="0">
      <x:c r="A7" s="16" t="s">
        <x:v>103</x:v>
      </x:c>
      <x:c r="B7" s="16" t="s">
        <x:v>104</x:v>
      </x:c>
      <x:c r="C7" s="16" t="s">
        <x:v>95</x:v>
      </x:c>
      <x:c r="D7" s="16" t="s">
        <x:v>96</x:v>
      </x:c>
      <x:c r="E7" s="33" t="n">
        <x:v>15000</x:v>
      </x:c>
      <x:c r="F7" s="17" t="n">
        <x:v>119000</x:v>
      </x:c>
      <x:c r="G7" s="16" t="s">
        <x:v>105</x:v>
      </x:c>
      <x:c r="H7" s="34" t="str">
        <x:f aca="0">A7</x:f>
        <x:v>MR-1003</x:v>
      </x:c>
      <x:c r="I7" s="78" t="n">
        <x:f>DATE(VALUE(RIGHT(B7,4)),VALUE(MID(B7,4,2)),VALUE(LEFT(B7,2)))</x:f>
        <x:v>46056</x:v>
      </x:c>
      <x:c r="J7" s="34" t="str">
        <x:f aca="0">C7</x:f>
        <x:v>Karachi Port</x:v>
      </x:c>
      <x:c r="K7" s="34" t="str">
        <x:f aca="0">D7</x:f>
        <x:v>Lahore Dry Port</x:v>
      </x:c>
      <x:c r="L7" s="36" t="n">
        <x:f aca="0">E7</x:f>
        <x:v>15000</x:v>
      </x:c>
      <x:c r="M7" s="36" t="n">
        <x:f aca="0">F7</x:f>
        <x:v>119000</x:v>
      </x:c>
      <x:c r="N7" s="37" t="str">
        <x:f>PROPER(TRIM(G7))</x:f>
        <x:v>In Transit</x:v>
      </x:c>
      <x:c r="O7" s="37" t="str">
        <x:f>"Marine"</x:f>
        <x:v>Marine</x:v>
      </x:c>
      <x:c r="R7" s="38" t="s">
        <x:v>241</x:v>
      </x:c>
    </x:row>
    <x:row r="8" ht="15" hidden="0">
      <x:c r="A8" s="16" t="s">
        <x:v>106</x:v>
      </x:c>
      <x:c r="B8" s="16" t="s">
        <x:v>107</x:v>
      </x:c>
      <x:c r="C8" s="16" t="s">
        <x:v>108</x:v>
      </x:c>
      <x:c r="D8" s="16" t="s">
        <x:v>109</x:v>
      </x:c>
      <x:c r="E8" s="33" t="n">
        <x:v>20000</x:v>
      </x:c>
      <x:c r="F8" s="17" t="n">
        <x:v>188000</x:v>
      </x:c>
      <x:c r="G8" s="16" t="s">
        <x:v>97</x:v>
      </x:c>
      <x:c r="H8" s="34" t="str">
        <x:f aca="0">A8</x:f>
        <x:v>MR-1004</x:v>
      </x:c>
      <x:c r="I8" s="78" t="n">
        <x:f>DATE(VALUE(RIGHT(B8,4)),VALUE(MID(B8,4,2)),VALUE(LEFT(B8,2)))</x:f>
        <x:v>46057</x:v>
      </x:c>
      <x:c r="J8" s="34" t="str">
        <x:f aca="0">C8</x:f>
        <x:v>Gwadar Port</x:v>
      </x:c>
      <x:c r="K8" s="34" t="str">
        <x:f aca="0">D8</x:f>
        <x:v>Quetta</x:v>
      </x:c>
      <x:c r="L8" s="36" t="n">
        <x:f aca="0">E8</x:f>
        <x:v>20000</x:v>
      </x:c>
      <x:c r="M8" s="36" t="n">
        <x:f aca="0">F8</x:f>
        <x:v>188000</x:v>
      </x:c>
      <x:c r="N8" s="37" t="str">
        <x:f>PROPER(TRIM(G8))</x:f>
        <x:v>Delivered</x:v>
      </x:c>
      <x:c r="O8" s="37" t="str">
        <x:f>"Marine"</x:f>
        <x:v>Marine</x:v>
      </x:c>
      <x:c r="R8" s="38" t="s">
        <x:v>242</x:v>
      </x:c>
    </x:row>
    <x:row r="9" ht="15" hidden="0">
      <x:c r="A9" s="16" t="s">
        <x:v>110</x:v>
      </x:c>
      <x:c r="B9" s="16" t="s">
        <x:v>111</x:v>
      </x:c>
      <x:c r="C9" s="16" t="s">
        <x:v>100</x:v>
      </x:c>
      <x:c r="D9" s="16" t="s">
        <x:v>112</x:v>
      </x:c>
      <x:c r="E9" s="33" t="n">
        <x:v>16500</x:v>
      </x:c>
      <x:c r="F9" s="17" t="n">
        <x:v>128000</x:v>
      </x:c>
      <x:c r="G9" s="16" t="s">
        <x:v>113</x:v>
      </x:c>
      <x:c r="H9" s="34" t="str">
        <x:f aca="0">A9</x:f>
        <x:v>MR-1005</x:v>
      </x:c>
      <x:c r="I9" s="78" t="n">
        <x:f>DATE(VALUE(RIGHT(B9,4)),VALUE(MID(B9,4,2)),VALUE(LEFT(B9,2)))</x:f>
        <x:v>46058</x:v>
      </x:c>
      <x:c r="J9" s="34" t="str">
        <x:f aca="0">C9</x:f>
        <x:v>Port Qasim</x:v>
      </x:c>
      <x:c r="K9" s="34" t="str">
        <x:f aca="0">D9</x:f>
        <x:v>Multan</x:v>
      </x:c>
      <x:c r="L9" s="36" t="n">
        <x:f aca="0">E9</x:f>
        <x:v>16500</x:v>
      </x:c>
      <x:c r="M9" s="36" t="n">
        <x:f aca="0">F9</x:f>
        <x:v>128000</x:v>
      </x:c>
      <x:c r="N9" s="37" t="str">
        <x:f>PROPER(TRIM(G9))</x:f>
        <x:v>Delivered</x:v>
      </x:c>
      <x:c r="O9" s="37" t="str">
        <x:f>"Marine"</x:f>
        <x:v>Marine</x:v>
      </x:c>
    </x:row>
    <x:row r="10" ht="15" hidden="0">
      <x:c r="A10" s="16" t="s">
        <x:v>114</x:v>
      </x:c>
      <x:c r="B10" s="16" t="s">
        <x:v>115</x:v>
      </x:c>
      <x:c r="C10" s="16" t="s">
        <x:v>95</x:v>
      </x:c>
      <x:c r="D10" s="16" t="s">
        <x:v>116</x:v>
      </x:c>
      <x:c r="E10" s="33" t="n">
        <x:v>19000</x:v>
      </x:c>
      <x:c r="F10" s="17" t="n">
        <x:v>154000</x:v>
      </x:c>
      <x:c r="G10" s="16" t="s">
        <x:v>117</x:v>
      </x:c>
      <x:c r="H10" s="34" t="str">
        <x:f aca="0">A10</x:f>
        <x:v>MR-1006</x:v>
      </x:c>
      <x:c r="I10" s="78" t="n">
        <x:f>DATE(VALUE(RIGHT(B10,4)),VALUE(MID(B10,4,2)),VALUE(LEFT(B10,2)))</x:f>
        <x:v>46059</x:v>
      </x:c>
      <x:c r="J10" s="34" t="str">
        <x:f aca="0">C10</x:f>
        <x:v>Karachi Port</x:v>
      </x:c>
      <x:c r="K10" s="34" t="str">
        <x:f aca="0">D10</x:f>
        <x:v>Sialkot Dry Port</x:v>
      </x:c>
      <x:c r="L10" s="36" t="n">
        <x:f aca="0">E10</x:f>
        <x:v>19000</x:v>
      </x:c>
      <x:c r="M10" s="36" t="n">
        <x:f aca="0">F10</x:f>
        <x:v>154000</x:v>
      </x:c>
      <x:c r="N10" s="37" t="str">
        <x:f>PROPER(TRIM(G10))</x:f>
        <x:v>Delayed</x:v>
      </x:c>
      <x:c r="O10" s="37" t="str">
        <x:f>"Marine"</x:f>
        <x:v>Marine</x:v>
      </x:c>
    </x:row>
    <x:row r="11" ht="15" hidden="0">
      <x:c r="A11" s="16" t="s">
        <x:v>118</x:v>
      </x:c>
      <x:c r="B11" s="16" t="s">
        <x:v>119</x:v>
      </x:c>
      <x:c r="C11" s="16" t="s">
        <x:v>100</x:v>
      </x:c>
      <x:c r="D11" s="16" t="s">
        <x:v>96</x:v>
      </x:c>
      <x:c r="E11" s="33" t="n">
        <x:v>14000</x:v>
      </x:c>
      <x:c r="F11" s="17" t="n">
        <x:v>109000</x:v>
      </x:c>
      <x:c r="G11" s="16" t="s">
        <x:v>97</x:v>
      </x:c>
      <x:c r="H11" s="34" t="str">
        <x:f aca="0">A11</x:f>
        <x:v>MR-1007</x:v>
      </x:c>
      <x:c r="I11" s="78" t="n">
        <x:f>DATE(VALUE(RIGHT(B11,4)),VALUE(MID(B11,4,2)),VALUE(LEFT(B11,2)))</x:f>
        <x:v>46060</x:v>
      </x:c>
      <x:c r="J11" s="34" t="str">
        <x:f aca="0">C11</x:f>
        <x:v>Port Qasim</x:v>
      </x:c>
      <x:c r="K11" s="34" t="str">
        <x:f aca="0">D11</x:f>
        <x:v>Lahore Dry Port</x:v>
      </x:c>
      <x:c r="L11" s="36" t="n">
        <x:f aca="0">E11</x:f>
        <x:v>14000</x:v>
      </x:c>
      <x:c r="M11" s="36" t="n">
        <x:f aca="0">F11</x:f>
        <x:v>109000</x:v>
      </x:c>
      <x:c r="N11" s="37" t="str">
        <x:f>PROPER(TRIM(G11))</x:f>
        <x:v>Delivered</x:v>
      </x:c>
      <x:c r="O11" s="37" t="str">
        <x:f>"Marine"</x:f>
        <x:v>Marine</x:v>
      </x:c>
    </x:row>
    <x:row r="12" ht="15" hidden="0">
      <x:c r="A12" s="16" t="s">
        <x:v>120</x:v>
      </x:c>
      <x:c r="B12" s="16" t="s">
        <x:v>121</x:v>
      </x:c>
      <x:c r="C12" s="16" t="s">
        <x:v>95</x:v>
      </x:c>
      <x:c r="D12" s="16" t="s">
        <x:v>122</x:v>
      </x:c>
      <x:c r="E12" s="33" t="n">
        <x:v>21000</x:v>
      </x:c>
      <x:c r="F12" s="17" t="n">
        <x:v>197000</x:v>
      </x:c>
      <x:c r="G12" s="16" t="s">
        <x:v>123</x:v>
      </x:c>
      <x:c r="H12" s="34" t="str">
        <x:f aca="0">A12</x:f>
        <x:v>MR-1008</x:v>
      </x:c>
      <x:c r="I12" s="78" t="n">
        <x:f>DATE(VALUE(RIGHT(B12,4)),VALUE(MID(B12,4,2)),VALUE(LEFT(B12,2)))</x:f>
        <x:v>46062</x:v>
      </x:c>
      <x:c r="J12" s="34" t="str">
        <x:f aca="0">C12</x:f>
        <x:v>Karachi Port</x:v>
      </x:c>
      <x:c r="K12" s="34" t="str">
        <x:f aca="0">D12</x:f>
        <x:v>Peshawar</x:v>
      </x:c>
      <x:c r="L12" s="36" t="n">
        <x:f aca="0">E12</x:f>
        <x:v>21000</x:v>
      </x:c>
      <x:c r="M12" s="36" t="n">
        <x:f aca="0">F12</x:f>
        <x:v>197000</x:v>
      </x:c>
      <x:c r="N12" s="37" t="str">
        <x:f>PROPER(TRIM(G12))</x:f>
        <x:v>In Transit</x:v>
      </x:c>
      <x:c r="O12" s="37" t="str">
        <x:f>"Marine"</x:f>
        <x:v>Marine</x:v>
      </x:c>
    </x:row>
    <x:row r="13" ht="15" hidden="0">
      <x:c r="A13" s="16" t="s">
        <x:v>124</x:v>
      </x:c>
      <x:c r="B13" s="16" t="s">
        <x:v>125</x:v>
      </x:c>
      <x:c r="C13" s="16" t="s">
        <x:v>108</x:v>
      </x:c>
      <x:c r="D13" s="16" t="s">
        <x:v>126</x:v>
      </x:c>
      <x:c r="E13" s="33" t="n">
        <x:v>17500</x:v>
      </x:c>
      <x:c r="F13" s="17" t="n">
        <x:v>98000</x:v>
      </x:c>
      <x:c r="G13" s="16" t="s">
        <x:v>97</x:v>
      </x:c>
      <x:c r="H13" s="34" t="str">
        <x:f aca="0">A13</x:f>
        <x:v>MR-1009</x:v>
      </x:c>
      <x:c r="I13" s="78" t="n">
        <x:f>DATE(VALUE(RIGHT(B13,4)),VALUE(MID(B13,4,2)),VALUE(LEFT(B13,2)))</x:f>
        <x:v>46063</x:v>
      </x:c>
      <x:c r="J13" s="34" t="str">
        <x:f aca="0">C13</x:f>
        <x:v>Gwadar Port</x:v>
      </x:c>
      <x:c r="K13" s="34" t="str">
        <x:f aca="0">D13</x:f>
        <x:v>Karachi Cantt</x:v>
      </x:c>
      <x:c r="L13" s="36" t="n">
        <x:f aca="0">E13</x:f>
        <x:v>17500</x:v>
      </x:c>
      <x:c r="M13" s="36" t="n">
        <x:f aca="0">F13</x:f>
        <x:v>98000</x:v>
      </x:c>
      <x:c r="N13" s="37" t="str">
        <x:f>PROPER(TRIM(G13))</x:f>
        <x:v>Delivered</x:v>
      </x:c>
      <x:c r="O13" s="37" t="str">
        <x:f>"Marine"</x:f>
        <x:v>Marine</x:v>
      </x:c>
    </x:row>
    <x:row r="14" ht="15" hidden="0">
      <x:c r="A14" s="16" t="s">
        <x:v>127</x:v>
      </x:c>
      <x:c r="B14" s="16" t="s">
        <x:v>128</x:v>
      </x:c>
      <x:c r="C14" s="16" t="s">
        <x:v>100</x:v>
      </x:c>
      <x:c r="D14" s="16" t="s">
        <x:v>129</x:v>
      </x:c>
      <x:c r="E14" s="33" t="n">
        <x:v>15500</x:v>
      </x:c>
      <x:c r="F14" s="17" t="n">
        <x:v>139000</x:v>
      </x:c>
      <x:c r="G14" s="16" t="s">
        <x:v>97</x:v>
      </x:c>
      <x:c r="H14" s="34" t="str">
        <x:f aca="0">A14</x:f>
        <x:v>MR-1010</x:v>
      </x:c>
      <x:c r="I14" s="78" t="n">
        <x:f>DATE(VALUE(RIGHT(B14,4)),VALUE(MID(B14,4,2)),VALUE(LEFT(B14,2)))</x:f>
        <x:v>46064</x:v>
      </x:c>
      <x:c r="J14" s="34" t="str">
        <x:f aca="0">C14</x:f>
        <x:v>Port Qasim</x:v>
      </x:c>
      <x:c r="K14" s="34" t="str">
        <x:f aca="0">D14</x:f>
        <x:v>Islamabad Dry Port</x:v>
      </x:c>
      <x:c r="L14" s="36" t="n">
        <x:f aca="0">E14</x:f>
        <x:v>15500</x:v>
      </x:c>
      <x:c r="M14" s="36" t="n">
        <x:f aca="0">F14</x:f>
        <x:v>139000</x:v>
      </x:c>
      <x:c r="N14" s="37" t="str">
        <x:f>PROPER(TRIM(G14))</x:f>
        <x:v>Delivered</x:v>
      </x:c>
      <x:c r="O14" s="37" t="str">
        <x:f>"Marine"</x:f>
        <x:v>Marine</x:v>
      </x:c>
    </x:row>
    <x:row r="15" ht="15" hidden="0">
      <x:c r="A15" s="16" t="s">
        <x:v>130</x:v>
      </x:c>
      <x:c r="B15" s="16" t="s">
        <x:v>131</x:v>
      </x:c>
      <x:c r="C15" s="16" t="s">
        <x:v>95</x:v>
      </x:c>
      <x:c r="D15" s="16" t="s">
        <x:v>132</x:v>
      </x:c>
      <x:c r="E15" s="33" t="n">
        <x:v>13500</x:v>
      </x:c>
      <x:c r="F15" s="17" t="n">
        <x:v>61000</x:v>
      </x:c>
      <x:c r="G15" s="16" t="s">
        <x:v>105</x:v>
      </x:c>
      <x:c r="H15" s="34" t="str">
        <x:f aca="0">A15</x:f>
        <x:v>MR-1011</x:v>
      </x:c>
      <x:c r="I15" s="78" t="n">
        <x:f>DATE(VALUE(RIGHT(B15,4)),VALUE(MID(B15,4,2)),VALUE(LEFT(B15,2)))</x:f>
        <x:v>46065</x:v>
      </x:c>
      <x:c r="J15" s="34" t="str">
        <x:f aca="0">C15</x:f>
        <x:v>Karachi Port</x:v>
      </x:c>
      <x:c r="K15" s="34" t="str">
        <x:f aca="0">D15</x:f>
        <x:v>Hyderabad</x:v>
      </x:c>
      <x:c r="L15" s="36" t="n">
        <x:f aca="0">E15</x:f>
        <x:v>13500</x:v>
      </x:c>
      <x:c r="M15" s="36" t="n">
        <x:f aca="0">F15</x:f>
        <x:v>61000</x:v>
      </x:c>
      <x:c r="N15" s="37" t="str">
        <x:f>PROPER(TRIM(G15))</x:f>
        <x:v>In Transit</x:v>
      </x:c>
      <x:c r="O15" s="37" t="str">
        <x:f>"Marine"</x:f>
        <x:v>Marine</x:v>
      </x:c>
    </x:row>
    <x:row r="16" ht="15" hidden="0">
      <x:c r="A16" s="16" t="s">
        <x:v>133</x:v>
      </x:c>
      <x:c r="B16" s="16" t="s">
        <x:v>134</x:v>
      </x:c>
      <x:c r="C16" s="16" t="s">
        <x:v>100</x:v>
      </x:c>
      <x:c r="D16" s="16" t="s">
        <x:v>96</x:v>
      </x:c>
      <x:c r="E16" s="33" t="n">
        <x:v>14000</x:v>
      </x:c>
      <x:c r="F16" s="17" t="n">
        <x:v>112000</x:v>
      </x:c>
      <x:c r="G16" s="16" t="s">
        <x:v>97</x:v>
      </x:c>
      <x:c r="H16" s="34" t="str">
        <x:f aca="0">A16</x:f>
        <x:v>MR-1012</x:v>
      </x:c>
      <x:c r="I16" s="78" t="n">
        <x:f>DATE(VALUE(RIGHT(B16,4)),VALUE(MID(B16,4,2)),VALUE(LEFT(B16,2)))</x:f>
        <x:v>46066</x:v>
      </x:c>
      <x:c r="J16" s="34" t="str">
        <x:f aca="0">C16</x:f>
        <x:v>Port Qasim</x:v>
      </x:c>
      <x:c r="K16" s="34" t="str">
        <x:f aca="0">D16</x:f>
        <x:v>Lahore Dry Port</x:v>
      </x:c>
      <x:c r="L16" s="36" t="n">
        <x:f aca="0">E16</x:f>
        <x:v>14000</x:v>
      </x:c>
      <x:c r="M16" s="36" t="n">
        <x:f aca="0">F16</x:f>
        <x:v>112000</x:v>
      </x:c>
      <x:c r="N16" s="37" t="str">
        <x:f>PROPER(TRIM(G16))</x:f>
        <x:v>Delivered</x:v>
      </x:c>
      <x:c r="O16" s="37" t="str">
        <x:f>"Marine"</x:f>
        <x:v>Marine</x:v>
      </x:c>
    </x:row>
    <x:row r="17">
      <x:c r="I17" s="79"/>
    </x:row>
    <x:row r="18">
      <x:c r="I18" s="79"/>
    </x:row>
    <x:row r="19">
      <x:c r="I19" s="79"/>
    </x:row>
  </x:sheetData>
  <x:mergeCells>
    <x:mergeCell ref="A2:P2"/>
    <x:mergeCell ref="A3:G3"/>
    <x:mergeCell ref="H3:O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xSplit="7" ySplit="4" topLeftCell="H5" activePane="bottomRight" state="frozen"/>
    </x:sheetView>
  </x:sheetViews>
  <x:sheetFormatPr defaultColWidth="8.6796875" defaultRowHeight="15"/>
  <x:cols>
    <x:col min="1" max="2" width="12" hidden="0" customWidth="1"/>
    <x:col min="3" max="3" width="15" hidden="0" customWidth="1"/>
    <x:col min="4" max="4" width="17" hidden="0" customWidth="1"/>
    <x:col min="5" max="6" width="11" hidden="0" customWidth="1"/>
    <x:col min="7" max="7" width="12" hidden="0" customWidth="1"/>
    <x:col min="8" max="8" width="11" hidden="0" customWidth="1"/>
    <x:col min="9" max="9" width="12" hidden="0" customWidth="1"/>
    <x:col min="10" max="10" width="15" hidden="0" customWidth="1"/>
    <x:col min="11" max="11" width="17" hidden="0" customWidth="1"/>
    <x:col min="12" max="14" width="11" hidden="0" customWidth="1"/>
    <x:col min="15" max="15" width="12" hidden="0" customWidth="1"/>
    <x:col min="16" max="16" width="10" hidden="0" customWidth="1"/>
    <x:col min="17" max="17" width="22" hidden="0" customWidth="1"/>
    <x:col min="18" max="18" width="110" hidden="0" customWidth="1"/>
  </x:cols>
  <x:sheetData>
    <x:row r="1" ht="27.75" hidden="0" customHeight="1">
      <x:c r="A1" s="1" t="s">
        <x:v>243</x:v>
      </x:c>
    </x:row>
    <x:row r="2" ht="43.5" hidden="0" customHeight="1">
      <x:c r="A2" s="2" t="s">
        <x:v>244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hidden="0">
      <x:c r="A3" s="31" t="s">
        <x:v>236</x:v>
      </x:c>
      <x:c r="B3" s="31"/>
      <x:c r="C3" s="31"/>
      <x:c r="D3" s="31"/>
      <x:c r="E3" s="31"/>
      <x:c r="F3" s="31"/>
      <x:c r="G3" s="31"/>
      <x:c r="H3" s="32" t="s">
        <x:v>237</x:v>
      </x:c>
      <x:c r="I3" s="32"/>
      <x:c r="J3" s="32"/>
      <x:c r="K3" s="32"/>
      <x:c r="L3" s="32"/>
      <x:c r="M3" s="32"/>
      <x:c r="N3" s="32"/>
      <x:c r="O3" s="32"/>
    </x:row>
    <x:row r="4" ht="31.5" hidden="0" customHeight="1">
      <x:c r="A4" s="15" t="s">
        <x:v>137</x:v>
      </x:c>
      <x:c r="B4" s="15" t="s">
        <x:v>138</x:v>
      </x:c>
      <x:c r="C4" s="15" t="s">
        <x:v>139</x:v>
      </x:c>
      <x:c r="D4" s="15" t="s">
        <x:v>140</x:v>
      </x:c>
      <x:c r="E4" s="15" t="s">
        <x:v>141</x:v>
      </x:c>
      <x:c r="F4" s="15" t="s">
        <x:v>142</x:v>
      </x:c>
      <x:c r="G4" s="15" t="s">
        <x:v>81</x:v>
      </x:c>
      <x:c r="H4" s="6" t="s">
        <x:v>64</x:v>
      </x:c>
      <x:c r="I4" s="6" t="s">
        <x:v>68</x:v>
      </x:c>
      <x:c r="J4" s="6" t="s">
        <x:v>72</x:v>
      </x:c>
      <x:c r="K4" s="6" t="s">
        <x:v>73</x:v>
      </x:c>
      <x:c r="L4" s="6" t="s">
        <x:v>74</x:v>
      </x:c>
      <x:c r="M4" s="6" t="s">
        <x:v>78</x:v>
      </x:c>
      <x:c r="N4" s="6" t="s">
        <x:v>81</x:v>
      </x:c>
      <x:c r="O4" s="6" t="s">
        <x:v>84</x:v>
      </x:c>
      <x:c r="R4" s="27" t="s">
        <x:v>238</x:v>
      </x:c>
    </x:row>
    <x:row r="5" ht="15" hidden="0">
      <x:c r="A5" s="16" t="n">
        <x:v>45012</x:v>
      </x:c>
      <x:c r="B5" s="20" t="n">
        <x:v>46056</x:v>
      </x:c>
      <x:c r="C5" s="16" t="s">
        <x:v>126</x:v>
      </x:c>
      <x:c r="D5" s="16" t="s">
        <x:v>143</x:v>
      </x:c>
      <x:c r="E5" s="33" t="n">
        <x:v>32.5</x:v>
      </x:c>
      <x:c r="F5" s="17" t="n">
        <x:v>285000</x:v>
      </x:c>
      <x:c r="G5" s="16" t="s">
        <x:v>83</x:v>
      </x:c>
      <x:c r="H5" s="37" t="str">
        <x:f>"RL-"&amp;A5</x:f>
        <x:v>RL-45012</x:v>
      </x:c>
      <x:c r="I5" s="80" t="n">
        <x:f aca="0">B5</x:f>
        <x:v>46056</x:v>
      </x:c>
      <x:c r="J5" s="34" t="str">
        <x:f aca="0">C5</x:f>
        <x:v>Karachi Cantt</x:v>
      </x:c>
      <x:c r="K5" s="34" t="str">
        <x:f aca="0">D5</x:f>
        <x:v>Lahore</x:v>
      </x:c>
      <x:c r="L5" s="40" t="n">
        <x:f>E5*1000</x:f>
        <x:v>32500</x:v>
      </x:c>
      <x:c r="M5" s="36" t="n">
        <x:f aca="0">F5</x:f>
        <x:v>285000</x:v>
      </x:c>
      <x:c r="N5" s="37" t="str">
        <x:f>PROPER(TRIM(G5))</x:f>
        <x:v>Delivered</x:v>
      </x:c>
      <x:c r="O5" s="37" t="str">
        <x:f>"Rail"</x:f>
        <x:v>Rail</x:v>
      </x:c>
      <x:c r="R5" s="38" t="s">
        <x:v>245</x:v>
      </x:c>
    </x:row>
    <x:row r="6" ht="15" hidden="0">
      <x:c r="A6" s="16" t="n">
        <x:v>45013</x:v>
      </x:c>
      <x:c r="B6" s="20" t="n">
        <x:v>46056</x:v>
      </x:c>
      <x:c r="C6" s="16" t="s">
        <x:v>126</x:v>
      </x:c>
      <x:c r="D6" s="16" t="s">
        <x:v>144</x:v>
      </x:c>
      <x:c r="E6" s="33" t="n">
        <x:v>28.75</x:v>
      </x:c>
      <x:c r="F6" s="17" t="n">
        <x:v>301000</x:v>
      </x:c>
      <x:c r="G6" s="16" t="s">
        <x:v>145</x:v>
      </x:c>
      <x:c r="H6" s="37" t="str">
        <x:f>"RL-"&amp;A6</x:f>
        <x:v>RL-45013</x:v>
      </x:c>
      <x:c r="I6" s="80" t="n">
        <x:f aca="0">B6</x:f>
        <x:v>46056</x:v>
      </x:c>
      <x:c r="J6" s="34" t="str">
        <x:f aca="0">C6</x:f>
        <x:v>Karachi Cantt</x:v>
      </x:c>
      <x:c r="K6" s="34" t="str">
        <x:f aca="0">D6</x:f>
        <x:v>Rawalpindi</x:v>
      </x:c>
      <x:c r="L6" s="40" t="n">
        <x:f>E6*1000</x:f>
        <x:v>28750</x:v>
      </x:c>
      <x:c r="M6" s="36" t="n">
        <x:f aca="0">F6</x:f>
        <x:v>301000</x:v>
      </x:c>
      <x:c r="N6" s="37" t="str">
        <x:f>PROPER(TRIM(G6))</x:f>
        <x:v>Delivered</x:v>
      </x:c>
      <x:c r="O6" s="37" t="str">
        <x:f>"Rail"</x:f>
        <x:v>Rail</x:v>
      </x:c>
      <x:c r="R6" s="38" t="s">
        <x:v>246</x:v>
      </x:c>
    </x:row>
    <x:row r="7" ht="15" hidden="0">
      <x:c r="A7" s="16" t="n">
        <x:v>45014</x:v>
      </x:c>
      <x:c r="B7" s="20" t="n">
        <x:v>46057</x:v>
      </x:c>
      <x:c r="C7" s="16" t="s">
        <x:v>146</x:v>
      </x:c>
      <x:c r="D7" s="16" t="s">
        <x:v>147</x:v>
      </x:c>
      <x:c r="E7" s="33" t="n">
        <x:v>30</x:v>
      </x:c>
      <x:c r="F7" s="17" t="n">
        <x:v>262000</x:v>
      </x:c>
      <x:c r="G7" s="16" t="s">
        <x:v>148</x:v>
      </x:c>
      <x:c r="H7" s="37" t="str">
        <x:f>"RL-"&amp;A7</x:f>
        <x:v>RL-45014</x:v>
      </x:c>
      <x:c r="I7" s="80" t="n">
        <x:f aca="0">B7</x:f>
        <x:v>46057</x:v>
      </x:c>
      <x:c r="J7" s="34" t="str">
        <x:f aca="0">C7</x:f>
        <x:v>Pipri Marshalling Yard</x:v>
      </x:c>
      <x:c r="K7" s="34" t="str">
        <x:f aca="0">D7</x:f>
        <x:v>Faisalabad</x:v>
      </x:c>
      <x:c r="L7" s="40" t="n">
        <x:f>E7*1000</x:f>
        <x:v>30000</x:v>
      </x:c>
      <x:c r="M7" s="36" t="n">
        <x:f aca="0">F7</x:f>
        <x:v>262000</x:v>
      </x:c>
      <x:c r="N7" s="37" t="str">
        <x:f>PROPER(TRIM(G7))</x:f>
        <x:v>In Transit</x:v>
      </x:c>
      <x:c r="O7" s="37" t="str">
        <x:f>"Rail"</x:f>
        <x:v>Rail</x:v>
      </x:c>
      <x:c r="R7" s="38" t="s">
        <x:v>247</x:v>
      </x:c>
    </x:row>
    <x:row r="8" ht="15" hidden="0">
      <x:c r="A8" s="16" t="n">
        <x:v>45015</x:v>
      </x:c>
      <x:c r="B8" s="20" t="n">
        <x:v>46058</x:v>
      </x:c>
      <x:c r="C8" s="16" t="s">
        <x:v>126</x:v>
      </x:c>
      <x:c r="D8" s="16" t="s">
        <x:v>112</x:v>
      </x:c>
      <x:c r="E8" s="33" t="n">
        <x:v>26.5</x:v>
      </x:c>
      <x:c r="F8" s="17" t="n">
        <x:v>198000</x:v>
      </x:c>
      <x:c r="G8" s="16" t="s">
        <x:v>149</x:v>
      </x:c>
      <x:c r="H8" s="37" t="str">
        <x:f>"RL-"&amp;A8</x:f>
        <x:v>RL-45015</x:v>
      </x:c>
      <x:c r="I8" s="80" t="n">
        <x:f aca="0">B8</x:f>
        <x:v>46058</x:v>
      </x:c>
      <x:c r="J8" s="34" t="str">
        <x:f aca="0">C8</x:f>
        <x:v>Karachi Cantt</x:v>
      </x:c>
      <x:c r="K8" s="34" t="str">
        <x:f aca="0">D8</x:f>
        <x:v>Multan</x:v>
      </x:c>
      <x:c r="L8" s="40" t="n">
        <x:f>E8*1000</x:f>
        <x:v>26500</x:v>
      </x:c>
      <x:c r="M8" s="36" t="n">
        <x:f aca="0">F8</x:f>
        <x:v>198000</x:v>
      </x:c>
      <x:c r="N8" s="37" t="str">
        <x:f>PROPER(TRIM(G8))</x:f>
        <x:v>Delivered</x:v>
      </x:c>
      <x:c r="O8" s="37" t="str">
        <x:f>"Rail"</x:f>
        <x:v>Rail</x:v>
      </x:c>
      <x:c r="R8" s="38" t="s">
        <x:v>248</x:v>
      </x:c>
    </x:row>
    <x:row r="9" ht="15" hidden="0">
      <x:c r="A9" s="16" t="n">
        <x:v>45016</x:v>
      </x:c>
      <x:c r="B9" s="20" t="n">
        <x:v>46059</x:v>
      </x:c>
      <x:c r="C9" s="16" t="s">
        <x:v>146</x:v>
      </x:c>
      <x:c r="D9" s="16" t="s">
        <x:v>143</x:v>
      </x:c>
      <x:c r="E9" s="33" t="n">
        <x:v>31.25</x:v>
      </x:c>
      <x:c r="F9" s="17" t="n">
        <x:v>276000</x:v>
      </x:c>
      <x:c r="G9" s="16" t="s">
        <x:v>117</x:v>
      </x:c>
      <x:c r="H9" s="37" t="str">
        <x:f>"RL-"&amp;A9</x:f>
        <x:v>RL-45016</x:v>
      </x:c>
      <x:c r="I9" s="80" t="n">
        <x:f aca="0">B9</x:f>
        <x:v>46059</x:v>
      </x:c>
      <x:c r="J9" s="34" t="str">
        <x:f aca="0">C9</x:f>
        <x:v>Pipri Marshalling Yard</x:v>
      </x:c>
      <x:c r="K9" s="34" t="str">
        <x:f aca="0">D9</x:f>
        <x:v>Lahore</x:v>
      </x:c>
      <x:c r="L9" s="40" t="n">
        <x:f>E9*1000</x:f>
        <x:v>31250</x:v>
      </x:c>
      <x:c r="M9" s="36" t="n">
        <x:f aca="0">F9</x:f>
        <x:v>276000</x:v>
      </x:c>
      <x:c r="N9" s="37" t="str">
        <x:f>PROPER(TRIM(G9))</x:f>
        <x:v>Delayed</x:v>
      </x:c>
      <x:c r="O9" s="37" t="str">
        <x:f>"Rail"</x:f>
        <x:v>Rail</x:v>
      </x:c>
    </x:row>
    <x:row r="10" ht="15" hidden="0">
      <x:c r="A10" s="16" t="n">
        <x:v>45017</x:v>
      </x:c>
      <x:c r="B10" s="20" t="n">
        <x:v>46060</x:v>
      </x:c>
      <x:c r="C10" s="16" t="s">
        <x:v>126</x:v>
      </x:c>
      <x:c r="D10" s="16" t="s">
        <x:v>150</x:v>
      </x:c>
      <x:c r="E10" s="33" t="n">
        <x:v>29</x:v>
      </x:c>
      <x:c r="F10" s="17" t="n">
        <x:v>334000</x:v>
      </x:c>
      <x:c r="G10" s="16" t="s">
        <x:v>151</x:v>
      </x:c>
      <x:c r="H10" s="37" t="str">
        <x:f>"RL-"&amp;A10</x:f>
        <x:v>RL-45017</x:v>
      </x:c>
      <x:c r="I10" s="80" t="n">
        <x:f aca="0">B10</x:f>
        <x:v>46060</x:v>
      </x:c>
      <x:c r="J10" s="34" t="str">
        <x:f aca="0">C10</x:f>
        <x:v>Karachi Cantt</x:v>
      </x:c>
      <x:c r="K10" s="34" t="str">
        <x:f aca="0">D10</x:f>
        <x:v>Peshawar Cantt</x:v>
      </x:c>
      <x:c r="L10" s="40" t="n">
        <x:f>E10*1000</x:f>
        <x:v>29000</x:v>
      </x:c>
      <x:c r="M10" s="36" t="n">
        <x:f aca="0">F10</x:f>
        <x:v>334000</x:v>
      </x:c>
      <x:c r="N10" s="37" t="str">
        <x:f>PROPER(TRIM(G10))</x:f>
        <x:v>Delivered</x:v>
      </x:c>
      <x:c r="O10" s="37" t="str">
        <x:f>"Rail"</x:f>
        <x:v>Rail</x:v>
      </x:c>
    </x:row>
    <x:row r="11" ht="15" hidden="0">
      <x:c r="A11" s="16" t="n">
        <x:v>45018</x:v>
      </x:c>
      <x:c r="B11" s="20" t="n">
        <x:v>46062</x:v>
      </x:c>
      <x:c r="C11" s="16" t="s">
        <x:v>146</x:v>
      </x:c>
      <x:c r="D11" s="16" t="s">
        <x:v>144</x:v>
      </x:c>
      <x:c r="E11" s="33" t="n">
        <x:v>27.5</x:v>
      </x:c>
      <x:c r="F11" s="17" t="n">
        <x:v>289000</x:v>
      </x:c>
      <x:c r="G11" s="16" t="s">
        <x:v>152</x:v>
      </x:c>
      <x:c r="H11" s="37" t="str">
        <x:f>"RL-"&amp;A11</x:f>
        <x:v>RL-45018</x:v>
      </x:c>
      <x:c r="I11" s="80" t="n">
        <x:f aca="0">B11</x:f>
        <x:v>46062</x:v>
      </x:c>
      <x:c r="J11" s="34" t="str">
        <x:f aca="0">C11</x:f>
        <x:v>Pipri Marshalling Yard</x:v>
      </x:c>
      <x:c r="K11" s="34" t="str">
        <x:f aca="0">D11</x:f>
        <x:v>Rawalpindi</x:v>
      </x:c>
      <x:c r="L11" s="40" t="n">
        <x:f>E11*1000</x:f>
        <x:v>27500</x:v>
      </x:c>
      <x:c r="M11" s="36" t="n">
        <x:f aca="0">F11</x:f>
        <x:v>289000</x:v>
      </x:c>
      <x:c r="N11" s="37" t="str">
        <x:f>PROPER(TRIM(G11))</x:f>
        <x:v>Delayed</x:v>
      </x:c>
      <x:c r="O11" s="37" t="str">
        <x:f>"Rail"</x:f>
        <x:v>Rail</x:v>
      </x:c>
    </x:row>
    <x:row r="12" ht="15" hidden="0">
      <x:c r="A12" s="16" t="n">
        <x:v>45019</x:v>
      </x:c>
      <x:c r="B12" s="20" t="n">
        <x:v>46063</x:v>
      </x:c>
      <x:c r="C12" s="16" t="s">
        <x:v>126</x:v>
      </x:c>
      <x:c r="D12" s="16" t="s">
        <x:v>143</x:v>
      </x:c>
      <x:c r="E12" s="33" t="n">
        <x:v>33</x:v>
      </x:c>
      <x:c r="F12" s="17" t="n">
        <x:v>291000</x:v>
      </x:c>
      <x:c r="G12" s="16" t="s">
        <x:v>83</x:v>
      </x:c>
      <x:c r="H12" s="37" t="str">
        <x:f>"RL-"&amp;A12</x:f>
        <x:v>RL-45019</x:v>
      </x:c>
      <x:c r="I12" s="80" t="n">
        <x:f aca="0">B12</x:f>
        <x:v>46063</x:v>
      </x:c>
      <x:c r="J12" s="34" t="str">
        <x:f aca="0">C12</x:f>
        <x:v>Karachi Cantt</x:v>
      </x:c>
      <x:c r="K12" s="34" t="str">
        <x:f aca="0">D12</x:f>
        <x:v>Lahore</x:v>
      </x:c>
      <x:c r="L12" s="40" t="n">
        <x:f>E12*1000</x:f>
        <x:v>33000</x:v>
      </x:c>
      <x:c r="M12" s="36" t="n">
        <x:f aca="0">F12</x:f>
        <x:v>291000</x:v>
      </x:c>
      <x:c r="N12" s="37" t="str">
        <x:f>PROPER(TRIM(G12))</x:f>
        <x:v>Delivered</x:v>
      </x:c>
      <x:c r="O12" s="37" t="str">
        <x:f>"Rail"</x:f>
        <x:v>Rail</x:v>
      </x:c>
    </x:row>
    <x:row r="13" ht="15" hidden="0">
      <x:c r="A13" s="16" t="n">
        <x:v>45020</x:v>
      </x:c>
      <x:c r="B13" s="20" t="n">
        <x:v>46064</x:v>
      </x:c>
      <x:c r="C13" s="16" t="s">
        <x:v>126</x:v>
      </x:c>
      <x:c r="D13" s="16" t="s">
        <x:v>153</x:v>
      </x:c>
      <x:c r="E13" s="33" t="n">
        <x:v>28.25</x:v>
      </x:c>
      <x:c r="F13" s="17" t="n">
        <x:v>142000</x:v>
      </x:c>
      <x:c r="G13" s="16" t="s">
        <x:v>154</x:v>
      </x:c>
      <x:c r="H13" s="37" t="str">
        <x:f>"RL-"&amp;A13</x:f>
        <x:v>RL-45020</x:v>
      </x:c>
      <x:c r="I13" s="80" t="n">
        <x:f aca="0">B13</x:f>
        <x:v>46064</x:v>
      </x:c>
      <x:c r="J13" s="34" t="str">
        <x:f aca="0">C13</x:f>
        <x:v>Karachi Cantt</x:v>
      </x:c>
      <x:c r="K13" s="34" t="str">
        <x:f aca="0">D13</x:f>
        <x:v>Sukkur</x:v>
      </x:c>
      <x:c r="L13" s="40" t="n">
        <x:f>E13*1000</x:f>
        <x:v>28250</x:v>
      </x:c>
      <x:c r="M13" s="36" t="n">
        <x:f aca="0">F13</x:f>
        <x:v>142000</x:v>
      </x:c>
      <x:c r="N13" s="37" t="str">
        <x:f>PROPER(TRIM(G13))</x:f>
        <x:v>In Transit</x:v>
      </x:c>
      <x:c r="O13" s="37" t="str">
        <x:f>"Rail"</x:f>
        <x:v>Rail</x:v>
      </x:c>
    </x:row>
    <x:row r="14" ht="15" hidden="0">
      <x:c r="A14" s="16" t="n">
        <x:v>45021</x:v>
      </x:c>
      <x:c r="B14" s="20" t="n">
        <x:v>46065</x:v>
      </x:c>
      <x:c r="C14" s="16" t="s">
        <x:v>146</x:v>
      </x:c>
      <x:c r="D14" s="16" t="s">
        <x:v>112</x:v>
      </x:c>
      <x:c r="E14" s="33" t="n">
        <x:v>28.5</x:v>
      </x:c>
      <x:c r="F14" s="17" t="n">
        <x:v>207000</x:v>
      </x:c>
      <x:c r="G14" s="16" t="s">
        <x:v>145</x:v>
      </x:c>
      <x:c r="H14" s="37" t="str">
        <x:f>"RL-"&amp;A14</x:f>
        <x:v>RL-45021</x:v>
      </x:c>
      <x:c r="I14" s="80" t="n">
        <x:f aca="0">B14</x:f>
        <x:v>46065</x:v>
      </x:c>
      <x:c r="J14" s="34" t="str">
        <x:f aca="0">C14</x:f>
        <x:v>Pipri Marshalling Yard</x:v>
      </x:c>
      <x:c r="K14" s="34" t="str">
        <x:f aca="0">D14</x:f>
        <x:v>Multan</x:v>
      </x:c>
      <x:c r="L14" s="40" t="n">
        <x:f>E14*1000</x:f>
        <x:v>28500</x:v>
      </x:c>
      <x:c r="M14" s="36" t="n">
        <x:f aca="0">F14</x:f>
        <x:v>207000</x:v>
      </x:c>
      <x:c r="N14" s="37" t="str">
        <x:f>PROPER(TRIM(G14))</x:f>
        <x:v>Delivered</x:v>
      </x:c>
      <x:c r="O14" s="37" t="str">
        <x:f>"Rail"</x:f>
        <x:v>Rail</x:v>
      </x:c>
    </x:row>
    <x:row r="15">
      <x:c r="I15" s="79"/>
    </x:row>
    <x:row r="16">
      <x:c r="I16" s="79"/>
    </x:row>
    <x:row r="17">
      <x:c r="I17" s="79"/>
    </x:row>
    <x:row r="18">
      <x:c r="I18" s="79"/>
    </x:row>
    <x:row r="19">
      <x:c r="I19" s="79"/>
    </x:row>
  </x:sheetData>
  <x:mergeCells>
    <x:mergeCell ref="A2:P2"/>
    <x:mergeCell ref="A3:G3"/>
    <x:mergeCell ref="H3:O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xSplit="7" ySplit="4" topLeftCell="H5" activePane="bottomRight" state="frozen"/>
    </x:sheetView>
  </x:sheetViews>
  <x:sheetFormatPr defaultColWidth="8.6796875" defaultRowHeight="15"/>
  <x:cols>
    <x:col min="1" max="2" width="12" hidden="0" customWidth="1"/>
    <x:col min="3" max="3" width="15" hidden="0" customWidth="1"/>
    <x:col min="4" max="4" width="17" hidden="0" customWidth="1"/>
    <x:col min="5" max="6" width="11" hidden="0" customWidth="1"/>
    <x:col min="7" max="7" width="12" hidden="0" customWidth="1"/>
    <x:col min="8" max="8" width="11" hidden="0" customWidth="1"/>
    <x:col min="9" max="9" width="12" hidden="0" customWidth="1"/>
    <x:col min="10" max="10" width="15" hidden="0" customWidth="1"/>
    <x:col min="11" max="11" width="17" hidden="0" customWidth="1"/>
    <x:col min="12" max="14" width="11" hidden="0" customWidth="1"/>
    <x:col min="15" max="15" width="12" hidden="0" customWidth="1"/>
    <x:col min="16" max="16" width="10" hidden="0" customWidth="1"/>
    <x:col min="17" max="17" width="40" hidden="0" customWidth="1"/>
    <x:col min="18" max="18" width="110" hidden="0" customWidth="1"/>
  </x:cols>
  <x:sheetData>
    <x:row r="1" ht="27.75" hidden="0" customHeight="1">
      <x:c r="A1" s="1" t="s">
        <x:v>249</x:v>
      </x:c>
    </x:row>
    <x:row r="2" ht="43.5" hidden="0" customHeight="1">
      <x:c r="A2" s="2" t="s">
        <x:v>250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hidden="0">
      <x:c r="A3" s="31" t="s">
        <x:v>236</x:v>
      </x:c>
      <x:c r="B3" s="31"/>
      <x:c r="C3" s="31"/>
      <x:c r="D3" s="31"/>
      <x:c r="E3" s="31"/>
      <x:c r="F3" s="31"/>
      <x:c r="G3" s="31"/>
      <x:c r="H3" s="32" t="s">
        <x:v>237</x:v>
      </x:c>
      <x:c r="I3" s="32"/>
      <x:c r="J3" s="32"/>
      <x:c r="K3" s="32"/>
      <x:c r="L3" s="32"/>
      <x:c r="M3" s="32"/>
      <x:c r="N3" s="32"/>
      <x:c r="O3" s="32"/>
    </x:row>
    <x:row r="4" ht="31.5" hidden="0" customHeight="1">
      <x:c r="A4" s="15" t="s">
        <x:v>155</x:v>
      </x:c>
      <x:c r="B4" s="15" t="s">
        <x:v>156</x:v>
      </x:c>
      <x:c r="C4" s="15" t="s">
        <x:v>157</x:v>
      </x:c>
      <x:c r="D4" s="15" t="s">
        <x:v>158</x:v>
      </x:c>
      <x:c r="E4" s="15" t="s">
        <x:v>159</x:v>
      </x:c>
      <x:c r="F4" s="15" t="s">
        <x:v>160</x:v>
      </x:c>
      <x:c r="G4" s="15" t="s">
        <x:v>161</x:v>
      </x:c>
      <x:c r="H4" s="6" t="s">
        <x:v>64</x:v>
      </x:c>
      <x:c r="I4" s="6" t="s">
        <x:v>68</x:v>
      </x:c>
      <x:c r="J4" s="6" t="s">
        <x:v>72</x:v>
      </x:c>
      <x:c r="K4" s="6" t="s">
        <x:v>73</x:v>
      </x:c>
      <x:c r="L4" s="6" t="s">
        <x:v>74</x:v>
      </x:c>
      <x:c r="M4" s="6" t="s">
        <x:v>78</x:v>
      </x:c>
      <x:c r="N4" s="6" t="s">
        <x:v>81</x:v>
      </x:c>
      <x:c r="O4" s="6" t="s">
        <x:v>84</x:v>
      </x:c>
      <x:c r="P4" s="41" t="s">
        <x:v>251</x:v>
      </x:c>
      <x:c r="Q4" s="41" t="s">
        <x:v>252</x:v>
      </x:c>
      <x:c r="R4" s="27" t="s">
        <x:v>238</x:v>
      </x:c>
    </x:row>
    <x:row r="5" ht="32" hidden="0" customHeight="1">
      <x:c r="A5" s="16" t="s">
        <x:v>162</x:v>
      </x:c>
      <x:c r="B5" s="16" t="s">
        <x:v>163</x:v>
      </x:c>
      <x:c r="C5" s="16" t="s">
        <x:v>143</x:v>
      </x:c>
      <x:c r="D5" s="16" t="s">
        <x:v>164</x:v>
      </x:c>
      <x:c r="E5" s="33" t="n">
        <x:v>6500</x:v>
      </x:c>
      <x:c r="F5" s="17" t="n">
        <x:v>58000</x:v>
      </x:c>
      <x:c r="G5" s="16" t="s">
        <x:v>145</x:v>
      </x:c>
      <x:c r="H5" s="37" t="str">
        <x:f>UPPER(TRIM(A5))</x:f>
        <x:v>RD-501</x:v>
      </x:c>
      <x:c r="I5" s="78" t="n">
        <x:f>IF(OR(A5="",H5="TOTAL"),"",DATE(VALUE(LEFT(B5,4)),VALUE(MID(B5,6,2)),VALUE(RIGHT(B5,2))))</x:f>
        <x:v>46055</x:v>
      </x:c>
      <x:c r="J5" s="34" t="str">
        <x:f aca="0">IF(C5="","",C5)</x:f>
        <x:v>Lahore</x:v>
      </x:c>
      <x:c r="K5" s="34" t="str">
        <x:f aca="0">IF(D5="","",D5)</x:f>
        <x:v>Islamabad</x:v>
      </x:c>
      <x:c r="L5" s="36" t="n">
        <x:f aca="0">IF(E5="","",E5)</x:f>
        <x:v>6500</x:v>
      </x:c>
      <x:c r="M5" s="36" t="n">
        <x:f aca="0">IF(F5="","",F5)</x:f>
        <x:v>58000</x:v>
      </x:c>
      <x:c r="N5" s="37" t="str">
        <x:f>IF(G5="","",PROPER(TRIM(G5)))</x:f>
        <x:v>Delivered</x:v>
      </x:c>
      <x:c r="O5" s="37" t="str">
        <x:f>IF(A5="","","Road")</x:f>
        <x:v>Road</x:v>
      </x:c>
      <x:c r="P5" s="37" t="str">
        <x:f>IF(OR(H5="",H5="TOTAL",COUNTIF($H$5:H5,H5)&gt;1),"N","Y")</x:f>
        <x:v>Y</x:v>
      </x:c>
      <x:c r="Q5" s="61" t="str">
        <x:f>IF(H5="","Blank record: no shipment fields",IF(H5="TOTAL","Aggregate TOTAL row: not a shipment",IF(COUNTIF($H$5:H5,H5)&gt;1,"Duplicate rd-505: retain first occurrence","")))</x:f>
      </x:c>
      <x:c r="R5" s="38" t="s">
        <x:v>253</x:v>
      </x:c>
    </x:row>
    <x:row r="6" ht="32" hidden="0" customHeight="1">
      <x:c r="A6" s="16" t="s">
        <x:v>165</x:v>
      </x:c>
      <x:c r="B6" s="16" t="s">
        <x:v>163</x:v>
      </x:c>
      <x:c r="C6" s="16" t="s">
        <x:v>166</x:v>
      </x:c>
      <x:c r="D6" s="16" t="s">
        <x:v>132</x:v>
      </x:c>
      <x:c r="E6" s="33" t="n">
        <x:v>7200</x:v>
      </x:c>
      <x:c r="F6" s="17" t="n">
        <x:v>41000</x:v>
      </x:c>
      <x:c r="G6" s="16" t="s">
        <x:v>145</x:v>
      </x:c>
      <x:c r="H6" s="37" t="str">
        <x:f>UPPER(TRIM(A6))</x:f>
        <x:v>RD-502</x:v>
      </x:c>
      <x:c r="I6" s="78" t="n">
        <x:f>IF(OR(A6="",H6="TOTAL"),"",DATE(VALUE(LEFT(B6,4)),VALUE(MID(B6,6,2)),VALUE(RIGHT(B6,2))))</x:f>
        <x:v>46055</x:v>
      </x:c>
      <x:c r="J6" s="34" t="str">
        <x:f aca="0">IF(C6="","",C6)</x:f>
        <x:v>Karachi</x:v>
      </x:c>
      <x:c r="K6" s="34" t="str">
        <x:f aca="0">IF(D6="","",D6)</x:f>
        <x:v>Hyderabad</x:v>
      </x:c>
      <x:c r="L6" s="36" t="n">
        <x:f aca="0">IF(E6="","",E6)</x:f>
        <x:v>7200</x:v>
      </x:c>
      <x:c r="M6" s="36" t="n">
        <x:f aca="0">IF(F6="","",F6)</x:f>
        <x:v>41000</x:v>
      </x:c>
      <x:c r="N6" s="37" t="str">
        <x:f>IF(G6="","",PROPER(TRIM(G6)))</x:f>
        <x:v>Delivered</x:v>
      </x:c>
      <x:c r="O6" s="37" t="str">
        <x:f>IF(A6="","","Road")</x:f>
        <x:v>Road</x:v>
      </x:c>
      <x:c r="P6" s="37" t="str">
        <x:f>IF(OR(H6="",H6="TOTAL",COUNTIF($H$5:H6,H6)&gt;1),"N","Y")</x:f>
        <x:v>Y</x:v>
      </x:c>
      <x:c r="Q6" s="61" t="str">
        <x:f>IF(H6="","Blank record: no shipment fields",IF(H6="TOTAL","Aggregate TOTAL row: not a shipment",IF(COUNTIF($H$5:H6,H6)&gt;1,"Duplicate rd-505: retain first occurrence","")))</x:f>
      </x:c>
      <x:c r="R6" s="38" t="s">
        <x:v>254</x:v>
      </x:c>
    </x:row>
    <x:row r="7" ht="32" hidden="0" customHeight="1">
      <x:c r="A7" s="16" t="s">
        <x:v>167</x:v>
      </x:c>
      <x:c r="B7" s="16" t="s">
        <x:v>168</x:v>
      </x:c>
      <x:c r="C7" s="16" t="s">
        <x:v>143</x:v>
      </x:c>
      <x:c r="D7" s="16" t="s">
        <x:v>147</x:v>
      </x:c>
      <x:c r="E7" s="33" t="n">
        <x:v>5800</x:v>
      </x:c>
      <x:c r="F7" s="17" t="n">
        <x:v>32000</x:v>
      </x:c>
      <x:c r="G7" s="16" t="s">
        <x:v>169</x:v>
      </x:c>
      <x:c r="H7" s="37" t="str">
        <x:f>UPPER(TRIM(A7))</x:f>
        <x:v>RD-503</x:v>
      </x:c>
      <x:c r="I7" s="78" t="n">
        <x:f>IF(OR(A7="",H7="TOTAL"),"",DATE(VALUE(LEFT(B7,4)),VALUE(MID(B7,6,2)),VALUE(RIGHT(B7,2))))</x:f>
        <x:v>46056</x:v>
      </x:c>
      <x:c r="J7" s="34" t="str">
        <x:f aca="0">IF(C7="","",C7)</x:f>
        <x:v>Lahore</x:v>
      </x:c>
      <x:c r="K7" s="34" t="str">
        <x:f aca="0">IF(D7="","",D7)</x:f>
        <x:v>Faisalabad</x:v>
      </x:c>
      <x:c r="L7" s="36" t="n">
        <x:f aca="0">IF(E7="","",E7)</x:f>
        <x:v>5800</x:v>
      </x:c>
      <x:c r="M7" s="36" t="n">
        <x:f aca="0">IF(F7="","",F7)</x:f>
        <x:v>32000</x:v>
      </x:c>
      <x:c r="N7" s="37" t="str">
        <x:f>IF(G7="","",PROPER(TRIM(G7)))</x:f>
        <x:v>In Transit</x:v>
      </x:c>
      <x:c r="O7" s="37" t="str">
        <x:f>IF(A7="","","Road")</x:f>
        <x:v>Road</x:v>
      </x:c>
      <x:c r="P7" s="37" t="str">
        <x:f>IF(OR(H7="",H7="TOTAL",COUNTIF($H$5:H7,H7)&gt;1),"N","Y")</x:f>
        <x:v>Y</x:v>
      </x:c>
      <x:c r="Q7" s="61" t="str">
        <x:f>IF(H7="","Blank record: no shipment fields",IF(H7="TOTAL","Aggregate TOTAL row: not a shipment",IF(COUNTIF($H$5:H7,H7)&gt;1,"Duplicate rd-505: retain first occurrence","")))</x:f>
      </x:c>
      <x:c r="R7" s="38" t="s">
        <x:v>255</x:v>
      </x:c>
    </x:row>
    <x:row r="8" ht="32" hidden="0" customHeight="1">
      <x:c r="A8" s="16" t="s">
        <x:v>170</x:v>
      </x:c>
      <x:c r="B8" s="16" t="s">
        <x:v>171</x:v>
      </x:c>
      <x:c r="C8" s="16" t="s">
        <x:v>112</x:v>
      </x:c>
      <x:c r="D8" s="16" t="s">
        <x:v>143</x:v>
      </x:c>
      <x:c r="E8" s="33" t="n">
        <x:v>6900</x:v>
      </x:c>
      <x:c r="F8" s="17" t="n">
        <x:v>61000</x:v>
      </x:c>
      <x:c r="G8" s="16" t="s">
        <x:v>145</x:v>
      </x:c>
      <x:c r="H8" s="37" t="str">
        <x:f>UPPER(TRIM(A8))</x:f>
        <x:v>RD-504</x:v>
      </x:c>
      <x:c r="I8" s="78" t="n">
        <x:f>IF(OR(A8="",H8="TOTAL"),"",DATE(VALUE(LEFT(B8,4)),VALUE(MID(B8,6,2)),VALUE(RIGHT(B8,2))))</x:f>
        <x:v>46057</x:v>
      </x:c>
      <x:c r="J8" s="34" t="str">
        <x:f aca="0">IF(C8="","",C8)</x:f>
        <x:v>Multan</x:v>
      </x:c>
      <x:c r="K8" s="34" t="str">
        <x:f aca="0">IF(D8="","",D8)</x:f>
        <x:v>Lahore</x:v>
      </x:c>
      <x:c r="L8" s="36" t="n">
        <x:f aca="0">IF(E8="","",E8)</x:f>
        <x:v>6900</x:v>
      </x:c>
      <x:c r="M8" s="36" t="n">
        <x:f aca="0">IF(F8="","",F8)</x:f>
        <x:v>61000</x:v>
      </x:c>
      <x:c r="N8" s="37" t="str">
        <x:f>IF(G8="","",PROPER(TRIM(G8)))</x:f>
        <x:v>Delivered</x:v>
      </x:c>
      <x:c r="O8" s="37" t="str">
        <x:f>IF(A8="","","Road")</x:f>
        <x:v>Road</x:v>
      </x:c>
      <x:c r="P8" s="37" t="str">
        <x:f>IF(OR(H8="",H8="TOTAL",COUNTIF($H$5:H8,H8)&gt;1),"N","Y")</x:f>
        <x:v>Y</x:v>
      </x:c>
      <x:c r="Q8" s="61" t="str">
        <x:f>IF(H8="","Blank record: no shipment fields",IF(H8="TOTAL","Aggregate TOTAL row: not a shipment",IF(COUNTIF($H$5:H8,H8)&gt;1,"Duplicate rd-505: retain first occurrence","")))</x:f>
      </x:c>
      <x:c r="R8" s="38" t="s">
        <x:v>256</x:v>
      </x:c>
    </x:row>
    <x:row r="9" ht="32" hidden="0" customHeight="1">
      <x:c r="A9" s="16" t="s">
        <x:v>172</x:v>
      </x:c>
      <x:c r="B9" s="16" t="s">
        <x:v>173</x:v>
      </x:c>
      <x:c r="C9" s="16" t="s">
        <x:v>164</x:v>
      </x:c>
      <x:c r="D9" s="16" t="s">
        <x:v>122</x:v>
      </x:c>
      <x:c r="E9" s="33" t="n">
        <x:v>6100</x:v>
      </x:c>
      <x:c r="F9" s="17" t="n">
        <x:v>47000</x:v>
      </x:c>
      <x:c r="G9" s="16" t="s">
        <x:v>145</x:v>
      </x:c>
      <x:c r="H9" s="37" t="str">
        <x:f>UPPER(TRIM(A9))</x:f>
        <x:v>RD-505</x:v>
      </x:c>
      <x:c r="I9" s="78" t="n">
        <x:f>IF(OR(A9="",H9="TOTAL"),"",DATE(VALUE(LEFT(B9,4)),VALUE(MID(B9,6,2)),VALUE(RIGHT(B9,2))))</x:f>
        <x:v>46058</x:v>
      </x:c>
      <x:c r="J9" s="34" t="str">
        <x:f aca="0">IF(C9="","",C9)</x:f>
        <x:v>Islamabad</x:v>
      </x:c>
      <x:c r="K9" s="34" t="str">
        <x:f aca="0">IF(D9="","",D9)</x:f>
        <x:v>Peshawar</x:v>
      </x:c>
      <x:c r="L9" s="36" t="n">
        <x:f aca="0">IF(E9="","",E9)</x:f>
        <x:v>6100</x:v>
      </x:c>
      <x:c r="M9" s="36" t="n">
        <x:f aca="0">IF(F9="","",F9)</x:f>
        <x:v>47000</x:v>
      </x:c>
      <x:c r="N9" s="37" t="str">
        <x:f>IF(G9="","",PROPER(TRIM(G9)))</x:f>
        <x:v>Delivered</x:v>
      </x:c>
      <x:c r="O9" s="37" t="str">
        <x:f>IF(A9="","","Road")</x:f>
        <x:v>Road</x:v>
      </x:c>
      <x:c r="P9" s="37" t="str">
        <x:f>IF(OR(H9="",H9="TOTAL",COUNTIF($H$5:H9,H9)&gt;1),"N","Y")</x:f>
        <x:v>Y</x:v>
      </x:c>
      <x:c r="Q9" s="61" t="str">
        <x:f>IF(H9="","Blank record: no shipment fields",IF(H9="TOTAL","Aggregate TOTAL row: not a shipment",IF(COUNTIF($H$5:H9,H9)&gt;1,"Duplicate rd-505: retain first occurrence","")))</x:f>
      </x:c>
      <x:c r="R9" s="38" t="s">
        <x:v>257</x:v>
      </x:c>
    </x:row>
    <x:row r="10" ht="32" hidden="0" customHeight="1">
      <x:c r="A10" s="16" t="s">
        <x:v>172</x:v>
      </x:c>
      <x:c r="B10" s="16" t="s">
        <x:v>173</x:v>
      </x:c>
      <x:c r="C10" s="16" t="s">
        <x:v>164</x:v>
      </x:c>
      <x:c r="D10" s="16" t="s">
        <x:v>122</x:v>
      </x:c>
      <x:c r="E10" s="33" t="n">
        <x:v>6100</x:v>
      </x:c>
      <x:c r="F10" s="17" t="n">
        <x:v>47000</x:v>
      </x:c>
      <x:c r="G10" s="16" t="s">
        <x:v>145</x:v>
      </x:c>
      <x:c r="H10" s="37" t="str">
        <x:f>UPPER(TRIM(A10))</x:f>
        <x:v>RD-505</x:v>
      </x:c>
      <x:c r="I10" s="78" t="n">
        <x:f>IF(OR(A10="",H10="TOTAL"),"",DATE(VALUE(LEFT(B10,4)),VALUE(MID(B10,6,2)),VALUE(RIGHT(B10,2))))</x:f>
        <x:v>46058</x:v>
      </x:c>
      <x:c r="J10" s="34" t="str">
        <x:f aca="0">IF(C10="","",C10)</x:f>
        <x:v>Islamabad</x:v>
      </x:c>
      <x:c r="K10" s="34" t="str">
        <x:f aca="0">IF(D10="","",D10)</x:f>
        <x:v>Peshawar</x:v>
      </x:c>
      <x:c r="L10" s="36" t="n">
        <x:f aca="0">IF(E10="","",E10)</x:f>
        <x:v>6100</x:v>
      </x:c>
      <x:c r="M10" s="36" t="n">
        <x:f aca="0">IF(F10="","",F10)</x:f>
        <x:v>47000</x:v>
      </x:c>
      <x:c r="N10" s="37" t="str">
        <x:f>IF(G10="","",PROPER(TRIM(G10)))</x:f>
        <x:v>Delivered</x:v>
      </x:c>
      <x:c r="O10" s="37" t="str">
        <x:f>IF(A10="","","Road")</x:f>
        <x:v>Road</x:v>
      </x:c>
      <x:c r="P10" s="37" t="str">
        <x:f>IF(OR(H10="",H10="TOTAL",COUNTIF($H$5:H10,H10)&gt;1),"N","Y")</x:f>
        <x:v>N</x:v>
      </x:c>
      <x:c r="Q10" s="61" t="str">
        <x:f>IF(H10="","Blank record: no shipment fields",IF(H10="TOTAL","Aggregate TOTAL row: not a shipment",IF(COUNTIF($H$5:H10,H10)&gt;1,"Duplicate rd-505: retain first occurrence","")))</x:f>
        <x:v>Duplicate rd-505: retain first occurrence</x:v>
      </x:c>
    </x:row>
    <x:row r="11" ht="32" hidden="0" customHeight="1">
      <x:c r="A11" s="16" t="s">
        <x:v>174</x:v>
      </x:c>
      <x:c r="B11" s="16" t="s">
        <x:v>175</x:v>
      </x:c>
      <x:c r="C11" s="16" t="s">
        <x:v>166</x:v>
      </x:c>
      <x:c r="D11" s="16" t="s">
        <x:v>153</x:v>
      </x:c>
      <x:c r="E11" s="33" t="n">
        <x:v>7400</x:v>
      </x:c>
      <x:c r="F11" s="17" t="n">
        <x:v>83000</x:v>
      </x:c>
      <x:c r="G11" s="16" t="s">
        <x:v>152</x:v>
      </x:c>
      <x:c r="H11" s="37" t="str">
        <x:f>UPPER(TRIM(A11))</x:f>
        <x:v>RD-506</x:v>
      </x:c>
      <x:c r="I11" s="78" t="n">
        <x:f>IF(OR(A11="",H11="TOTAL"),"",DATE(VALUE(LEFT(B11,4)),VALUE(MID(B11,6,2)),VALUE(RIGHT(B11,2))))</x:f>
        <x:v>46059</x:v>
      </x:c>
      <x:c r="J11" s="34" t="str">
        <x:f aca="0">IF(C11="","",C11)</x:f>
        <x:v>Karachi</x:v>
      </x:c>
      <x:c r="K11" s="34" t="str">
        <x:f aca="0">IF(D11="","",D11)</x:f>
        <x:v>Sukkur</x:v>
      </x:c>
      <x:c r="L11" s="36" t="n">
        <x:f aca="0">IF(E11="","",E11)</x:f>
        <x:v>7400</x:v>
      </x:c>
      <x:c r="M11" s="36" t="n">
        <x:f aca="0">IF(F11="","",F11)</x:f>
        <x:v>83000</x:v>
      </x:c>
      <x:c r="N11" s="37" t="str">
        <x:f>IF(G11="","",PROPER(TRIM(G11)))</x:f>
        <x:v>Delayed</x:v>
      </x:c>
      <x:c r="O11" s="37" t="str">
        <x:f>IF(A11="","","Road")</x:f>
        <x:v>Road</x:v>
      </x:c>
      <x:c r="P11" s="37" t="str">
        <x:f>IF(OR(H11="",H11="TOTAL",COUNTIF($H$5:H11,H11)&gt;1),"N","Y")</x:f>
        <x:v>Y</x:v>
      </x:c>
      <x:c r="Q11" s="61" t="str">
        <x:f>IF(H11="","Blank record: no shipment fields",IF(H11="TOTAL","Aggregate TOTAL row: not a shipment",IF(COUNTIF($H$5:H11,H11)&gt;1,"Duplicate rd-505: retain first occurrence","")))</x:f>
      </x:c>
    </x:row>
    <x:row r="12" ht="32" hidden="0" customHeight="1">
      <x:c r="A12" s="16" t="s">
        <x:v>176</x:v>
      </x:c>
      <x:c r="B12" s="16" t="s">
        <x:v>177</x:v>
      </x:c>
      <x:c r="C12" s="16" t="s">
        <x:v>143</x:v>
      </x:c>
      <x:c r="D12" s="16" t="s">
        <x:v>178</x:v>
      </x:c>
      <x:c r="E12" s="33" t="n">
        <x:v>5900</x:v>
      </x:c>
      <x:c r="F12" s="17" t="n">
        <x:v>39000</x:v>
      </x:c>
      <x:c r="G12" s="16" t="s">
        <x:v>145</x:v>
      </x:c>
      <x:c r="H12" s="37" t="str">
        <x:f>UPPER(TRIM(A12))</x:f>
        <x:v>RD-507</x:v>
      </x:c>
      <x:c r="I12" s="78" t="n">
        <x:f>IF(OR(A12="",H12="TOTAL"),"",DATE(VALUE(LEFT(B12,4)),VALUE(MID(B12,6,2)),VALUE(RIGHT(B12,2))))</x:f>
        <x:v>46060</x:v>
      </x:c>
      <x:c r="J12" s="34" t="str">
        <x:f aca="0">IF(C12="","",C12)</x:f>
        <x:v>Lahore</x:v>
      </x:c>
      <x:c r="K12" s="34" t="str">
        <x:f aca="0">IF(D12="","",D12)</x:f>
        <x:v>Sialkot</x:v>
      </x:c>
      <x:c r="L12" s="36" t="n">
        <x:f aca="0">IF(E12="","",E12)</x:f>
        <x:v>5900</x:v>
      </x:c>
      <x:c r="M12" s="36" t="n">
        <x:f aca="0">IF(F12="","",F12)</x:f>
        <x:v>39000</x:v>
      </x:c>
      <x:c r="N12" s="37" t="str">
        <x:f>IF(G12="","",PROPER(TRIM(G12)))</x:f>
        <x:v>Delivered</x:v>
      </x:c>
      <x:c r="O12" s="37" t="str">
        <x:f>IF(A12="","","Road")</x:f>
        <x:v>Road</x:v>
      </x:c>
      <x:c r="P12" s="37" t="str">
        <x:f>IF(OR(H12="",H12="TOTAL",COUNTIF($H$5:H12,H12)&gt;1),"N","Y")</x:f>
        <x:v>Y</x:v>
      </x:c>
      <x:c r="Q12" s="61" t="str">
        <x:f>IF(H12="","Blank record: no shipment fields",IF(H12="TOTAL","Aggregate TOTAL row: not a shipment",IF(COUNTIF($H$5:H12,H12)&gt;1,"Duplicate rd-505: retain first occurrence","")))</x:f>
      </x:c>
    </x:row>
    <x:row r="13" ht="32" hidden="0" customHeight="1">
      <x:c r="A13" s="16" t="s">
        <x:v>179</x:v>
      </x:c>
      <x:c r="B13" s="16" t="s">
        <x:v>180</x:v>
      </x:c>
      <x:c r="C13" s="16" t="s">
        <x:v>109</x:v>
      </x:c>
      <x:c r="D13" s="16" t="s">
        <x:v>166</x:v>
      </x:c>
      <x:c r="E13" s="33" t="n">
        <x:v>6600</x:v>
      </x:c>
      <x:c r="F13" s="17" t="n">
        <x:v>92000</x:v>
      </x:c>
      <x:c r="G13" s="16" t="s">
        <x:v>181</x:v>
      </x:c>
      <x:c r="H13" s="37" t="str">
        <x:f>UPPER(TRIM(A13))</x:f>
        <x:v>RD-508</x:v>
      </x:c>
      <x:c r="I13" s="78" t="n">
        <x:f>IF(OR(A13="",H13="TOTAL"),"",DATE(VALUE(LEFT(B13,4)),VALUE(MID(B13,6,2)),VALUE(RIGHT(B13,2))))</x:f>
        <x:v>46062</x:v>
      </x:c>
      <x:c r="J13" s="34" t="str">
        <x:f aca="0">IF(C13="","",C13)</x:f>
        <x:v>Quetta</x:v>
      </x:c>
      <x:c r="K13" s="34" t="str">
        <x:f aca="0">IF(D13="","",D13)</x:f>
        <x:v>Karachi</x:v>
      </x:c>
      <x:c r="L13" s="36" t="n">
        <x:f aca="0">IF(E13="","",E13)</x:f>
        <x:v>6600</x:v>
      </x:c>
      <x:c r="M13" s="36" t="n">
        <x:f aca="0">IF(F13="","",F13)</x:f>
        <x:v>92000</x:v>
      </x:c>
      <x:c r="N13" s="37" t="str">
        <x:f>IF(G13="","",PROPER(TRIM(G13)))</x:f>
        <x:v>In Transit</x:v>
      </x:c>
      <x:c r="O13" s="37" t="str">
        <x:f>IF(A13="","","Road")</x:f>
        <x:v>Road</x:v>
      </x:c>
      <x:c r="P13" s="37" t="str">
        <x:f>IF(OR(H13="",H13="TOTAL",COUNTIF($H$5:H13,H13)&gt;1),"N","Y")</x:f>
        <x:v>Y</x:v>
      </x:c>
      <x:c r="Q13" s="61" t="str">
        <x:f>IF(H13="","Blank record: no shipment fields",IF(H13="TOTAL","Aggregate TOTAL row: not a shipment",IF(COUNTIF($H$5:H13,H13)&gt;1,"Duplicate rd-505: retain first occurrence","")))</x:f>
      </x:c>
    </x:row>
    <x:row r="14" ht="32" hidden="0" customHeight="1">
      <x:c r="A14" s="16" t="s">
        <x:v>182</x:v>
      </x:c>
      <x:c r="B14" s="16" t="s">
        <x:v>183</x:v>
      </x:c>
      <x:c r="C14" s="16" t="s">
        <x:v>147</x:v>
      </x:c>
      <x:c r="D14" s="16" t="s">
        <x:v>112</x:v>
      </x:c>
      <x:c r="E14" s="33" t="n">
        <x:v>6200</x:v>
      </x:c>
      <x:c r="F14" s="17" t="n">
        <x:v>44000</x:v>
      </x:c>
      <x:c r="G14" s="16" t="s">
        <x:v>184</x:v>
      </x:c>
      <x:c r="H14" s="37" t="str">
        <x:f>UPPER(TRIM(A14))</x:f>
        <x:v>RD-509</x:v>
      </x:c>
      <x:c r="I14" s="78" t="n">
        <x:f>IF(OR(A14="",H14="TOTAL"),"",DATE(VALUE(LEFT(B14,4)),VALUE(MID(B14,6,2)),VALUE(RIGHT(B14,2))))</x:f>
        <x:v>46063</x:v>
      </x:c>
      <x:c r="J14" s="34" t="str">
        <x:f aca="0">IF(C14="","",C14)</x:f>
        <x:v>Faisalabad</x:v>
      </x:c>
      <x:c r="K14" s="34" t="str">
        <x:f aca="0">IF(D14="","",D14)</x:f>
        <x:v>Multan</x:v>
      </x:c>
      <x:c r="L14" s="36" t="n">
        <x:f aca="0">IF(E14="","",E14)</x:f>
        <x:v>6200</x:v>
      </x:c>
      <x:c r="M14" s="36" t="n">
        <x:f aca="0">IF(F14="","",F14)</x:f>
        <x:v>44000</x:v>
      </x:c>
      <x:c r="N14" s="37" t="str">
        <x:f>IF(G14="","",PROPER(TRIM(G14)))</x:f>
        <x:v>Delivered</x:v>
      </x:c>
      <x:c r="O14" s="37" t="str">
        <x:f>IF(A14="","","Road")</x:f>
        <x:v>Road</x:v>
      </x:c>
      <x:c r="P14" s="37" t="str">
        <x:f>IF(OR(H14="",H14="TOTAL",COUNTIF($H$5:H14,H14)&gt;1),"N","Y")</x:f>
        <x:v>Y</x:v>
      </x:c>
      <x:c r="Q14" s="61" t="str">
        <x:f>IF(H14="","Blank record: no shipment fields",IF(H14="TOTAL","Aggregate TOTAL row: not a shipment",IF(COUNTIF($H$5:H14,H14)&gt;1,"Duplicate rd-505: retain first occurrence","")))</x:f>
      </x:c>
    </x:row>
    <x:row r="15" ht="32" hidden="0" customHeight="1">
      <x:c r="A15" s="16" t="s">
        <x:v>185</x:v>
      </x:c>
      <x:c r="B15" s="16" t="s">
        <x:v>186</x:v>
      </x:c>
      <x:c r="C15" s="16" t="s">
        <x:v>143</x:v>
      </x:c>
      <x:c r="D15" s="16" t="s">
        <x:v>187</x:v>
      </x:c>
      <x:c r="E15" s="33" t="n">
        <x:v>7000</x:v>
      </x:c>
      <x:c r="F15" s="17" t="n">
        <x:v>27000</x:v>
      </x:c>
      <x:c r="G15" s="16" t="s">
        <x:v>145</x:v>
      </x:c>
      <x:c r="H15" s="37" t="str">
        <x:f>UPPER(TRIM(A15))</x:f>
        <x:v>RD-510</x:v>
      </x:c>
      <x:c r="I15" s="78" t="n">
        <x:f>IF(OR(A15="",H15="TOTAL"),"",DATE(VALUE(LEFT(B15,4)),VALUE(MID(B15,6,2)),VALUE(RIGHT(B15,2))))</x:f>
        <x:v>46064</x:v>
      </x:c>
      <x:c r="J15" s="34" t="str">
        <x:f aca="0">IF(C15="","",C15)</x:f>
        <x:v>Lahore</x:v>
      </x:c>
      <x:c r="K15" s="34" t="str">
        <x:f aca="0">IF(D15="","",D15)</x:f>
        <x:v>Gujranwala</x:v>
      </x:c>
      <x:c r="L15" s="36" t="n">
        <x:f aca="0">IF(E15="","",E15)</x:f>
        <x:v>7000</x:v>
      </x:c>
      <x:c r="M15" s="36" t="n">
        <x:f aca="0">IF(F15="","",F15)</x:f>
        <x:v>27000</x:v>
      </x:c>
      <x:c r="N15" s="37" t="str">
        <x:f>IF(G15="","",PROPER(TRIM(G15)))</x:f>
        <x:v>Delivered</x:v>
      </x:c>
      <x:c r="O15" s="37" t="str">
        <x:f>IF(A15="","","Road")</x:f>
        <x:v>Road</x:v>
      </x:c>
      <x:c r="P15" s="37" t="str">
        <x:f>IF(OR(H15="",H15="TOTAL",COUNTIF($H$5:H15,H15)&gt;1),"N","Y")</x:f>
        <x:v>Y</x:v>
      </x:c>
      <x:c r="Q15" s="61" t="str">
        <x:f>IF(H15="","Blank record: no shipment fields",IF(H15="TOTAL","Aggregate TOTAL row: not a shipment",IF(COUNTIF($H$5:H15,H15)&gt;1,"Duplicate rd-505: retain first occurrence","")))</x:f>
      </x:c>
    </x:row>
    <x:row r="16" ht="32" hidden="0" customHeight="1">
      <x:c r="A16" s="16" t="s">
        <x:v>188</x:v>
      </x:c>
      <x:c r="B16" s="16" t="s">
        <x:v>189</x:v>
      </x:c>
      <x:c r="C16" s="16" t="s">
        <x:v>166</x:v>
      </x:c>
      <x:c r="D16" s="16" t="s">
        <x:v>132</x:v>
      </x:c>
      <x:c r="E16" s="33" t="n">
        <x:v>5500</x:v>
      </x:c>
      <x:c r="F16" s="17" t="n">
        <x:v>36000</x:v>
      </x:c>
      <x:c r="G16" s="16" t="s">
        <x:v>190</x:v>
      </x:c>
      <x:c r="H16" s="37" t="str">
        <x:f>UPPER(TRIM(A16))</x:f>
        <x:v>RD-511</x:v>
      </x:c>
      <x:c r="I16" s="78" t="n">
        <x:f>IF(OR(A16="",H16="TOTAL"),"",DATE(VALUE(LEFT(B16,4)),VALUE(MID(B16,6,2)),VALUE(RIGHT(B16,2))))</x:f>
        <x:v>46065</x:v>
      </x:c>
      <x:c r="J16" s="34" t="str">
        <x:f aca="0">IF(C16="","",C16)</x:f>
        <x:v>Karachi</x:v>
      </x:c>
      <x:c r="K16" s="34" t="str">
        <x:f aca="0">IF(D16="","",D16)</x:f>
        <x:v>Hyderabad</x:v>
      </x:c>
      <x:c r="L16" s="36" t="n">
        <x:f aca="0">IF(E16="","",E16)</x:f>
        <x:v>5500</x:v>
      </x:c>
      <x:c r="M16" s="36" t="n">
        <x:f aca="0">IF(F16="","",F16)</x:f>
        <x:v>36000</x:v>
      </x:c>
      <x:c r="N16" s="37" t="str">
        <x:f>IF(G16="","",PROPER(TRIM(G16)))</x:f>
        <x:v>In Transit</x:v>
      </x:c>
      <x:c r="O16" s="37" t="str">
        <x:f>IF(A16="","","Road")</x:f>
        <x:v>Road</x:v>
      </x:c>
      <x:c r="P16" s="37" t="str">
        <x:f>IF(OR(H16="",H16="TOTAL",COUNTIF($H$5:H16,H16)&gt;1),"N","Y")</x:f>
        <x:v>Y</x:v>
      </x:c>
      <x:c r="Q16" s="61" t="str">
        <x:f>IF(H16="","Blank record: no shipment fields",IF(H16="TOTAL","Aggregate TOTAL row: not a shipment",IF(COUNTIF($H$5:H16,H16)&gt;1,"Duplicate rd-505: retain first occurrence","")))</x:f>
      </x:c>
    </x:row>
    <x:row r="17" ht="32" hidden="0" customHeight="1">
      <x:c r="A17" s="16" t="s">
        <x:v>191</x:v>
      </x:c>
      <x:c r="B17" s="16" t="s">
        <x:v>192</x:v>
      </x:c>
      <x:c r="C17" s="16" t="s">
        <x:v>144</x:v>
      </x:c>
      <x:c r="D17" s="16" t="s">
        <x:v>193</x:v>
      </x:c>
      <x:c r="E17" s="33" t="n">
        <x:v>5800</x:v>
      </x:c>
      <x:c r="F17" s="17" t="n">
        <x:v>45000</x:v>
      </x:c>
      <x:c r="G17" s="16" t="s">
        <x:v>145</x:v>
      </x:c>
      <x:c r="H17" s="37" t="str">
        <x:f>UPPER(TRIM(A17))</x:f>
        <x:v>RD-512</x:v>
      </x:c>
      <x:c r="I17" s="78" t="n">
        <x:f>IF(OR(A17="",H17="TOTAL"),"",DATE(VALUE(LEFT(B17,4)),VALUE(MID(B17,6,2)),VALUE(RIGHT(B17,2))))</x:f>
        <x:v>46066</x:v>
      </x:c>
      <x:c r="J17" s="34" t="str">
        <x:f aca="0">IF(C17="","",C17)</x:f>
        <x:v>Rawalpindi</x:v>
      </x:c>
      <x:c r="K17" s="34" t="str">
        <x:f aca="0">IF(D17="","",D17)</x:f>
        <x:v>Abbottabad</x:v>
      </x:c>
      <x:c r="L17" s="36" t="n">
        <x:f aca="0">IF(E17="","",E17)</x:f>
        <x:v>5800</x:v>
      </x:c>
      <x:c r="M17" s="36" t="n">
        <x:f aca="0">IF(F17="","",F17)</x:f>
        <x:v>45000</x:v>
      </x:c>
      <x:c r="N17" s="37" t="str">
        <x:f>IF(G17="","",PROPER(TRIM(G17)))</x:f>
        <x:v>Delivered</x:v>
      </x:c>
      <x:c r="O17" s="37" t="str">
        <x:f>IF(A17="","","Road")</x:f>
        <x:v>Road</x:v>
      </x:c>
      <x:c r="P17" s="37" t="str">
        <x:f>IF(OR(H17="",H17="TOTAL",COUNTIF($H$5:H17,H17)&gt;1),"N","Y")</x:f>
        <x:v>Y</x:v>
      </x:c>
      <x:c r="Q17" s="61" t="str">
        <x:f>IF(H17="","Blank record: no shipment fields",IF(H17="TOTAL","Aggregate TOTAL row: not a shipment",IF(COUNTIF($H$5:H17,H17)&gt;1,"Duplicate rd-505: retain first occurrence","")))</x:f>
      </x:c>
    </x:row>
    <x:row r="18" ht="32" hidden="0" customHeight="1">
      <x:c r="A18" s="16"/>
      <x:c r="B18" s="16"/>
      <x:c r="C18" s="16"/>
      <x:c r="D18" s="16"/>
      <x:c r="E18" s="33"/>
      <x:c r="F18" s="17"/>
      <x:c r="G18" s="16"/>
      <x:c r="H18" s="37" t="str">
        <x:f>UPPER(TRIM(A18))</x:f>
      </x:c>
      <x:c r="I18" s="78" t="str">
        <x:f>IF(OR(A18="",H18="TOTAL"),"",DATE(VALUE(LEFT(B18,4)),VALUE(MID(B18,6,2)),VALUE(RIGHT(B18,2))))</x:f>
      </x:c>
      <x:c r="J18" s="34" t="str">
        <x:f aca="0">IF(C18="","",C18)</x:f>
      </x:c>
      <x:c r="K18" s="34" t="str">
        <x:f aca="0">IF(D18="","",D18)</x:f>
      </x:c>
      <x:c r="L18" s="36" t="str">
        <x:f aca="0">IF(E18="","",E18)</x:f>
      </x:c>
      <x:c r="M18" s="36" t="str">
        <x:f aca="0">IF(F18="","",F18)</x:f>
      </x:c>
      <x:c r="N18" s="37" t="str">
        <x:f>IF(G18="","",PROPER(TRIM(G18)))</x:f>
      </x:c>
      <x:c r="O18" s="37" t="str">
        <x:f>IF(A18="","","Road")</x:f>
      </x:c>
      <x:c r="P18" s="37" t="str">
        <x:f>IF(OR(H18="",H18="TOTAL",COUNTIF($H$5:H18,H18)&gt;1),"N","Y")</x:f>
        <x:v>N</x:v>
      </x:c>
      <x:c r="Q18" s="61" t="str">
        <x:f>IF(H18="","Blank record: no shipment fields",IF(H18="TOTAL","Aggregate TOTAL row: not a shipment",IF(COUNTIF($H$5:H18,H18)&gt;1,"Duplicate rd-505: retain first occurrence","")))</x:f>
        <x:v>Blank record: no shipment fields</x:v>
      </x:c>
    </x:row>
    <x:row r="19" ht="32" hidden="0" customHeight="1">
      <x:c r="A19" s="16" t="s">
        <x:v>194</x:v>
      </x:c>
      <x:c r="B19" s="16"/>
      <x:c r="C19" s="16"/>
      <x:c r="D19" s="16"/>
      <x:c r="E19" s="33" t="n">
        <x:v>83000</x:v>
      </x:c>
      <x:c r="F19" s="17" t="n">
        <x:v>652000</x:v>
      </x:c>
      <x:c r="G19" s="16"/>
      <x:c r="H19" s="37" t="str">
        <x:f>UPPER(TRIM(A19))</x:f>
        <x:v>TOTAL</x:v>
      </x:c>
      <x:c r="I19" s="78" t="str">
        <x:f>IF(OR(A19="",H19="TOTAL"),"",DATE(VALUE(LEFT(B19,4)),VALUE(MID(B19,6,2)),VALUE(RIGHT(B19,2))))</x:f>
      </x:c>
      <x:c r="J19" s="34" t="str">
        <x:f aca="0">IF(C19="","",C19)</x:f>
      </x:c>
      <x:c r="K19" s="34" t="str">
        <x:f aca="0">IF(D19="","",D19)</x:f>
      </x:c>
      <x:c r="L19" s="36" t="n">
        <x:f aca="0">IF(E19="","",E19)</x:f>
        <x:v>83000</x:v>
      </x:c>
      <x:c r="M19" s="36" t="n">
        <x:f aca="0">IF(F19="","",F19)</x:f>
        <x:v>652000</x:v>
      </x:c>
      <x:c r="N19" s="37" t="str">
        <x:f>IF(G19="","",PROPER(TRIM(G19)))</x:f>
      </x:c>
      <x:c r="O19" s="37" t="str">
        <x:f>IF(A19="","","Road")</x:f>
        <x:v>Road</x:v>
      </x:c>
      <x:c r="P19" s="37" t="str">
        <x:f>IF(OR(H19="",H19="TOTAL",COUNTIF($H$5:H19,H19)&gt;1),"N","Y")</x:f>
        <x:v>N</x:v>
      </x:c>
      <x:c r="Q19" s="61" t="str">
        <x:f>IF(H19="","Blank record: no shipment fields",IF(H19="TOTAL","Aggregate TOTAL row: not a shipment",IF(COUNTIF($H$5:H19,H19)&gt;1,"Duplicate rd-505: retain first occurrence","")))</x:f>
        <x:v>Aggregate TOTAL row: not a shipment</x:v>
      </x:c>
    </x:row>
  </x:sheetData>
  <x:mergeCells>
    <x:mergeCell ref="A2:P2"/>
    <x:mergeCell ref="A3:G3"/>
    <x:mergeCell ref="H3:O3"/>
  </x:mergeCells>
  <x:dataValidations count="1">
    <x:dataValidation type="list" errorStyle="stop" operator="between" allowBlank="1" showDropDown="0" showInputMessage="0" showErrorMessage="0" sqref="P5:P19">
      <x:formula1>"Y,N"</x:formula1>
      <x:formula2>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hidden="0" customWidth="1"/>
    <x:col min="2" max="2" width="13" hidden="0" customWidth="1"/>
    <x:col min="3" max="3" width="11" hidden="0" customWidth="1"/>
    <x:col min="4" max="5" width="13" hidden="0" customWidth="1"/>
    <x:col min="6" max="6" width="15" hidden="0" customWidth="1"/>
    <x:col min="7" max="7" width="14" hidden="0" customWidth="1"/>
    <x:col min="8" max="8" width="13" hidden="0" customWidth="1"/>
  </x:cols>
  <x:sheetData>
    <x:row r="1" ht="27.75" hidden="0" customHeight="1">
      <x:c r="A1" s="1" t="s">
        <x:v>258</x:v>
      </x:c>
    </x:row>
    <x:row r="2" ht="43.5" hidden="0" customHeight="1">
      <x:c r="A2" s="2" t="s">
        <x:v>259</x:v>
      </x:c>
      <x:c r="B2" s="2"/>
      <x:c r="C2" s="2"/>
      <x:c r="D2" s="2"/>
      <x:c r="E2" s="2"/>
      <x:c r="F2" s="2"/>
      <x:c r="G2" s="2"/>
      <x:c r="H2" s="2"/>
    </x:row>
    <x:row r="4" ht="31.5" hidden="0" customHeight="1">
      <x:c r="A4" s="6" t="s">
        <x:v>260</x:v>
      </x:c>
      <x:c r="B4" s="6" t="s">
        <x:v>261</x:v>
      </x:c>
      <x:c r="C4" s="6" t="s">
        <x:v>262</x:v>
      </x:c>
      <x:c r="D4" s="6" t="s">
        <x:v>263</x:v>
      </x:c>
      <x:c r="E4" s="6" t="s">
        <x:v>264</x:v>
      </x:c>
      <x:c r="F4" s="6" t="s">
        <x:v>265</x:v>
      </x:c>
      <x:c r="G4" s="6" t="s">
        <x:v>266</x:v>
      </x:c>
      <x:c r="H4" s="6" t="s">
        <x:v>267</x:v>
      </x:c>
    </x:row>
    <x:row r="5" ht="15" hidden="0">
      <x:c r="A5" s="8" t="s">
        <x:v>203</x:v>
      </x:c>
      <x:c r="B5" s="7" t="n">
        <x:f aca="0">ROWS('T3a Marine_Stg'!A5:A16)</x:f>
        <x:v>12</x:v>
      </x:c>
      <x:c r="C5" s="7" t="n">
        <x:f aca="0">0</x:f>
        <x:v>0</x:v>
      </x:c>
      <x:c r="D5" s="7" t="n">
        <x:f aca="0">COUNT('T3a Marine_Stg'!L5:L16)</x:f>
        <x:v>12</x:v>
      </x:c>
      <x:c r="E5" s="42" t="n">
        <x:v>12</x:v>
      </x:c>
      <x:c r="F5" s="43" t="n">
        <x:f aca="0">SUM('T3a Marine_Stg'!L5:L16)</x:f>
        <x:v>206500</x:v>
      </x:c>
      <x:c r="G5" s="44" t="n">
        <x:v>206500</x:v>
      </x:c>
      <x:c r="H5" s="7" t="str">
        <x:f aca="0">IF(AND(D5=E5,ABS(F5-G5)&lt;0.5),"✔ OK","✘ Fix it")</x:f>
        <x:v>✔ OK</x:v>
      </x:c>
    </x:row>
    <x:row r="6" ht="15" hidden="0">
      <x:c r="A6" s="8" t="s">
        <x:v>86</x:v>
      </x:c>
      <x:c r="B6" s="7" t="n">
        <x:f aca="0">ROWS('T3b Rail_Stg'!A5:A14)</x:f>
        <x:v>10</x:v>
      </x:c>
      <x:c r="C6" s="7" t="n">
        <x:f aca="0">0</x:f>
        <x:v>0</x:v>
      </x:c>
      <x:c r="D6" s="7" t="n">
        <x:f aca="0">COUNT('T3b Rail_Stg'!L5:L14)</x:f>
        <x:v>10</x:v>
      </x:c>
      <x:c r="E6" s="42" t="n">
        <x:v>10</x:v>
      </x:c>
      <x:c r="F6" s="43" t="n">
        <x:f aca="0">SUM('T3b Rail_Stg'!L5:L14)</x:f>
        <x:v>295250</x:v>
      </x:c>
      <x:c r="G6" s="44" t="n">
        <x:v>295250</x:v>
      </x:c>
      <x:c r="H6" s="7" t="str">
        <x:f aca="0">IF(AND(D6=E6,ABS(F6-G6)&lt;0.5),"✔ OK","✘ Fix it")</x:f>
        <x:v>✔ OK</x:v>
      </x:c>
    </x:row>
    <x:row r="7" ht="15" hidden="0">
      <x:c r="A7" s="8" t="s">
        <x:v>268</x:v>
      </x:c>
      <x:c r="B7" s="7" t="n">
        <x:f aca="0">ROWS('T3c Road_Stg'!A5:A19)</x:f>
        <x:v>15</x:v>
      </x:c>
      <x:c r="C7" s="7" t="n">
        <x:f aca="0">COUNTIF('T3c Road_Stg'!P5:P19,"N")</x:f>
        <x:v>3</x:v>
      </x:c>
      <x:c r="D7" s="7" t="n">
        <x:f aca="0">COUNTIF('T3c Road_Stg'!P5:P19,"Y")</x:f>
        <x:v>12</x:v>
      </x:c>
      <x:c r="E7" s="42" t="n">
        <x:v>12</x:v>
      </x:c>
      <x:c r="F7" s="43" t="n">
        <x:f aca="0">SUMIF('T3c Road_Stg'!P5:P19,"Y",'T3c Road_Stg'!L5:L19)</x:f>
        <x:v>76900</x:v>
      </x:c>
      <x:c r="G7" s="44" t="n">
        <x:v>76900</x:v>
      </x:c>
      <x:c r="H7" s="7" t="str">
        <x:f aca="0">IF(AND(D7=E7,ABS(F7-G7)&lt;0.5),"✔ OK","✘ Fix it")</x:f>
        <x:v>✔ OK</x:v>
      </x:c>
    </x:row>
    <x:row r="8" ht="15" hidden="0">
      <x:c r="A8" s="9" t="s">
        <x:v>269</x:v>
      </x:c>
      <x:c r="B8" s="10" t="n">
        <x:f aca="0">SUM(B5:B7)</x:f>
        <x:v>37</x:v>
      </x:c>
      <x:c r="C8" s="10" t="n">
        <x:f aca="0">SUM(C5:C7)</x:f>
        <x:v>3</x:v>
      </x:c>
      <x:c r="D8" s="10" t="n">
        <x:f aca="0">SUM(D5:D7)</x:f>
        <x:v>34</x:v>
      </x:c>
      <x:c r="E8" s="10" t="n">
        <x:f aca="0">SUM(E5:E7)</x:f>
        <x:v>34</x:v>
      </x:c>
      <x:c r="F8" s="45" t="n">
        <x:f aca="0">SUM(F5:F7)</x:f>
        <x:v>578650</x:v>
      </x:c>
      <x:c r="G8" s="45" t="n">
        <x:f aca="0">SUM(G5:G7)</x:f>
        <x:v>578650</x:v>
      </x:c>
      <x:c r="H8" s="46" t="str">
        <x:f aca="0">IF(AND(D8=34,ABS(F8-578650)&lt;0.5,B8-C8=D8),"✔ OK","✘ Fix it")</x:f>
        <x:v>✔ OK</x:v>
      </x:c>
    </x:row>
    <x:row r="10" ht="15" hidden="0">
      <x:c r="A10" s="9" t="s">
        <x:v>270</x:v>
      </x:c>
      <x:c r="F10" s="47" t="n">
        <x:f aca="0">F8/1000</x:f>
        <x:v>578.65</x:v>
      </x:c>
      <x:c r="G10" s="48" t="n">
        <x:v>578.65</x:v>
      </x:c>
      <x:c r="H10" s="7" t="str">
        <x:f aca="0">IF(ABS(F10-G10)&lt;0.001,"✔ OK","✘ Fix it")</x:f>
        <x:v>✔ OK</x:v>
      </x:c>
    </x:row>
    <x:row r="11" ht="15" hidden="0" customHeight="1">
      <x:c r="A11" s="26" t="s">
        <x:v>271</x:v>
      </x:c>
      <x:c r="B11" s="26"/>
      <x:c r="C11" s="26"/>
      <x:c r="D11" s="26"/>
      <x:c r="E11" s="26"/>
      <x:c r="F11" s="26"/>
      <x:c r="G11" s="26"/>
      <x:c r="H11" s="26"/>
    </x:row>
    <x:row r="12" ht="15" hidden="0">
      <x:c r="A12" s="49" t="s">
        <x:v>272</x:v>
      </x:c>
    </x:row>
    <x:row r="14" ht="31.5" hidden="0" customHeight="1">
      <x:c r="A14" s="6" t="s">
        <x:v>81</x:v>
      </x:c>
      <x:c r="B14" s="6" t="s">
        <x:v>203</x:v>
      </x:c>
      <x:c r="C14" s="6" t="s">
        <x:v>86</x:v>
      </x:c>
      <x:c r="D14" s="6" t="s">
        <x:v>273</x:v>
      </x:c>
      <x:c r="E14" s="6" t="s">
        <x:v>269</x:v>
      </x:c>
      <x:c r="F14" s="6" t="s">
        <x:v>274</x:v>
      </x:c>
      <x:c r="G14" s="6"/>
      <x:c r="H14" s="6" t="s">
        <x:v>267</x:v>
      </x:c>
    </x:row>
    <x:row r="15" ht="15" hidden="0">
      <x:c r="A15" s="9" t="s">
        <x:v>83</x:v>
      </x:c>
      <x:c r="B15" s="7" t="n">
        <x:f aca="0">COUNTIF('T3a Marine_Stg'!N5:N16,A15)</x:f>
        <x:v>8</x:v>
      </x:c>
      <x:c r="C15" s="7" t="n">
        <x:f aca="0">COUNTIF('T3b Rail_Stg'!N5:N14,A15)</x:f>
        <x:v>6</x:v>
      </x:c>
      <x:c r="D15" s="7" t="n">
        <x:f aca="0">COUNTIFS('T3c Road_Stg'!N5:N19,A15,'T3c Road_Stg'!P5:P19,"Y")</x:f>
        <x:v>8</x:v>
      </x:c>
      <x:c r="E15" s="10" t="n">
        <x:f aca="0">SUM(B15:D15)</x:f>
        <x:v>22</x:v>
      </x:c>
      <x:c r="F15" s="42" t="n">
        <x:v>22</x:v>
      </x:c>
      <x:c r="G15" s="8"/>
      <x:c r="H15" s="7" t="str">
        <x:f aca="0">IF(E15=F15,"✔ OK","✘ Fix it")</x:f>
        <x:v>✔ OK</x:v>
      </x:c>
    </x:row>
    <x:row r="16" ht="15" hidden="0">
      <x:c r="A16" s="9" t="s">
        <x:v>275</x:v>
      </x:c>
      <x:c r="B16" s="7" t="n">
        <x:f aca="0">COUNTIF('T3a Marine_Stg'!N5:N16,A16)</x:f>
        <x:v>3</x:v>
      </x:c>
      <x:c r="C16" s="7" t="n">
        <x:f aca="0">COUNTIF('T3b Rail_Stg'!N5:N14,A16)</x:f>
        <x:v>2</x:v>
      </x:c>
      <x:c r="D16" s="7" t="n">
        <x:f aca="0">COUNTIFS('T3c Road_Stg'!N5:N19,A16,'T3c Road_Stg'!P5:P19,"Y")</x:f>
        <x:v>3</x:v>
      </x:c>
      <x:c r="E16" s="10" t="n">
        <x:f aca="0">SUM(B16:D16)</x:f>
        <x:v>8</x:v>
      </x:c>
      <x:c r="F16" s="42" t="n">
        <x:v>8</x:v>
      </x:c>
      <x:c r="G16" s="8"/>
      <x:c r="H16" s="7" t="str">
        <x:f aca="0">IF(E16=F16,"✔ OK","✘ Fix it")</x:f>
        <x:v>✔ OK</x:v>
      </x:c>
    </x:row>
    <x:row r="17" ht="15" hidden="0">
      <x:c r="A17" s="9" t="s">
        <x:v>276</x:v>
      </x:c>
      <x:c r="B17" s="7" t="n">
        <x:f aca="0">COUNTIF('T3a Marine_Stg'!N5:N16,A17)</x:f>
        <x:v>1</x:v>
      </x:c>
      <x:c r="C17" s="7" t="n">
        <x:f aca="0">COUNTIF('T3b Rail_Stg'!N5:N14,A17)</x:f>
        <x:v>2</x:v>
      </x:c>
      <x:c r="D17" s="7" t="n">
        <x:f aca="0">COUNTIFS('T3c Road_Stg'!N5:N19,A17,'T3c Road_Stg'!P5:P19,"Y")</x:f>
        <x:v>1</x:v>
      </x:c>
      <x:c r="E17" s="10" t="n">
        <x:f aca="0">SUM(B17:D17)</x:f>
        <x:v>4</x:v>
      </x:c>
      <x:c r="F17" s="42" t="n">
        <x:v>4</x:v>
      </x:c>
      <x:c r="G17" s="8"/>
      <x:c r="H17" s="7" t="str">
        <x:f aca="0">IF(E17=F17,"✔ OK","✘ Fix it")</x:f>
        <x:v>✔ OK</x:v>
      </x:c>
    </x:row>
    <x:row r="18" ht="15" hidden="0">
      <x:c r="A18" s="9" t="s">
        <x:v>277</x:v>
      </x:c>
      <x:c r="E18" s="7" t="n">
        <x:f aca="0">ROWS('T3a Marine_Stg'!N5:N16)+ROWS('T3b Rail_Stg'!N5:N14)+COUNTIF('T3c Road_Stg'!P5:P19,"Y")-SUM(E15:E17)</x:f>
        <x:v>0</x:v>
      </x:c>
      <x:c r="F18" s="42" t="n">
        <x:v>0</x:v>
      </x:c>
      <x:c r="G18" s="8"/>
      <x:c r="H18" s="7" t="str">
        <x:f aca="0">IF(AND(E18=0,E15+E16+E17=34),"✔ OK","✘ Fix it")</x:f>
        <x:v>✔ OK</x:v>
      </x:c>
    </x:row>
    <x:row r="20" ht="15" hidden="0">
      <x:c r="A20" s="9" t="s">
        <x:v>278</x:v>
      </x:c>
      <x:c r="B20" s="8" t="s">
        <x:v>279</x:v>
      </x:c>
      <x:c r="F20" s="50" t="n">
        <x:f aca="0">'T3a Marine_Stg'!I7</x:f>
        <x:v>46056</x:v>
      </x:c>
      <x:c r="G20" s="51" t="n">
        <x:f aca="0">DATE(2026,2,3)</x:f>
        <x:v>46056</x:v>
      </x:c>
      <x:c r="H20" s="7" t="str">
        <x:f aca="0">IF(F20=G20,"✔ OK","✘ Fix it")</x:f>
        <x:v>✔ OK</x:v>
      </x:c>
    </x:row>
    <x:row r="21" ht="15" hidden="0">
      <x:c r="B21" s="8" t="s">
        <x:v>280</x:v>
      </x:c>
      <x:c r="F21" s="50" t="n">
        <x:f aca="0">'T3a Marine_Stg'!I16</x:f>
        <x:v>46066</x:v>
      </x:c>
      <x:c r="G21" s="51" t="n">
        <x:f aca="0">DATE(2026,2,13)</x:f>
        <x:v>46066</x:v>
      </x:c>
      <x:c r="H21" s="7" t="str">
        <x:f aca="0">IF(F21=G21,"✔ OK","✘ Fix it")</x:f>
        <x:v>✔ OK</x:v>
      </x:c>
    </x:row>
  </x:sheetData>
  <x:mergeCells>
    <x:mergeCell ref="A2:H2"/>
    <x:mergeCell ref="A11:H11"/>
  </x:mergeCells>
  <x:conditionalFormatting sqref="H5:H21">
    <x:cfRule type="expression" dxfId="0" priority="2" aboveAverage="0" percent="0" bottom="0" rank="0" equalAverage="0">
      <x:formula>LEFT(H5,1)="✔"</x:formula>
    </x:cfRule>
    <x:cfRule type="expression" dxfId="1" priority="3" aboveAverage="0" percent="0" bottom="0" rank="0" equalAverage="0">
      <x:formula>LEFT(H5,1)="✘"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</x:cols>
  <x:sheetData>
    <x:row r="1" ht="27.75" hidden="0" customHeight="1">
      <x:c r="A1" s="55" t="s">
        <x:v>281</x:v>
      </x:c>
      <x:c r="B1" s="56"/>
      <x:c r="C1" s="56"/>
      <x:c r="D1" s="56"/>
      <x:c r="E1" s="56"/>
      <x:c r="F1" s="56"/>
    </x:row>
    <x:row r="2" ht="43.5" hidden="0" customHeight="1">
      <x:c r="A2" s="57" t="s">
        <x:v>282</x:v>
      </x:c>
      <x:c r="B2" s="57"/>
      <x:c r="C2" s="57"/>
      <x:c r="D2" s="57"/>
      <x:c r="E2" s="57"/>
      <x:c r="F2" s="57"/>
    </x:row>
    <x:row r="3">
      <x:c r="A3" s="56"/>
      <x:c r="B3" s="56"/>
      <x:c r="C3" s="56"/>
      <x:c r="D3" s="56"/>
      <x:c r="E3" s="56"/>
      <x:c r="F3" s="56"/>
    </x:row>
    <x:row r="4" ht="31.5" hidden="0" customHeight="1">
      <x:c r="A4" s="58" t="s">
        <x:v>283</x:v>
      </x:c>
      <x:c r="B4" s="58" t="s">
        <x:v>284</x:v>
      </x:c>
      <x:c r="C4" s="58" t="s">
        <x:v>285</x:v>
      </x:c>
      <x:c r="D4" s="58" t="s">
        <x:v>286</x:v>
      </x:c>
      <x:c r="E4" s="58" t="s">
        <x:v>287</x:v>
      </x:c>
      <x:c r="F4" s="56"/>
    </x:row>
    <x:row r="5" ht="96" hidden="0" customHeight="1">
      <x:c r="A5" s="73" t="s">
        <x:v>288</x:v>
      </x:c>
      <x:c r="B5" s="61" t="str">
        <x:v>12 marine, 10 rail and 15 road records; formats differ</x:v>
      </x:c>
      <x:c r="C5" s="61" t="str">
        <x:v>None: preserve original bytes, title rows and junk as evidence</x:v>
      </x:c>
      <x:c r="D5" s="61" t="str">
        <x:v>Confirm headers, unit labels, source counts and February coverage</x:v>
      </x:c>
      <x:c r="E5" s="61" t="str">
        <x:v>File names, SHA-256, sheet and physical row numbers</x:v>
      </x:c>
      <x:c r="F5" s="56"/>
    </x:row>
    <x:row r="6" ht="96" hidden="0" customHeight="1">
      <x:c r="A6" s="73" t="s">
        <x:v>289</x:v>
      </x:c>
      <x:c r="B6" s="61" t="str">
        <x:v>Canonical IDs/dates/statuses; all weights in kg</x:v>
      </x:c>
      <x:c r="C6" s="61" t="str">
        <x:v>Marine dd/mm/yyyy; rail skip 2, prefix RL-, ×1000; road uppercase and exclusions</x:v>
      </x:c>
      <x:c r="D6" s="61" t="str">
        <x:v>MR-1003/1012 dates; rail 32,500; log 3 road exclusions</x:v>
      </x:c>
      <x:c r="E6" s="61" t="str">
        <x:v>Road line 7 duplicate; line 15 blank; line 16 TOTAL; retained IDs</x:v>
      </x:c>
      <x:c r="F6" s="56"/>
    </x:row>
    <x:row r="7" ht="96" hidden="0" customHeight="1">
      <x:c r="A7" s="73" t="s">
        <x:v>290</x:v>
      </x:c>
      <x:c r="B7" s="61" t="str">
        <x:v>34 accepted shipment rows with 8 contract columns</x:v>
      </x:c>
      <x:c r="C7" s="61" t="str">
        <x:v>Append by matching names; persist common shipment grain</x:v>
      </x:c>
      <x:c r="D7" s="61" t="str">
        <x:v>12+10+12=34; 206500+295250+76900=578650 kg</x:v>
      </x:c>
      <x:c r="E7" s="61" t="str">
        <x:v>SourceSystem and separate file/raw-row lineage table</x:v>
      </x:c>
      <x:c r="F7" s="56"/>
    </x:row>
    <x:row r="8" ht="96" hidden="0" customHeight="1">
      <x:c r="A8" s="73" t="s">
        <x:v>291</x:v>
      </x:c>
      <x:c r="B8" s="61" t="str">
        <x:v>Agreed shipment view and future fact/dimension stars</x:v>
      </x:c>
      <x:c r="C8" s="61" t="str">
        <x:v>SUM WeightKG; divide by 1000 for tonnes; reuse shared dimensions</x:v>
      </x:c>
      <x:c r="D8" s="61" t="str">
        <x:v>22 Delivered, 8 In Transit, 4 Delayed; no other status</x:v>
      </x:c>
      <x:c r="E8" s="61" t="str">
        <x:v>Measure definitions, conformed keys and report filter rules</x:v>
      </x:c>
      <x:c r="F8" s="56"/>
    </x:row>
    <x:row r="9" ht="96" hidden="0" customHeight="1">
      <x:c r="A9" s="73" t="s">
        <x:v>292</x:v>
      </x:c>
      <x:c r="B9" s="61" t="str">
        <x:v>Card: 578,650 kg or 578.65 tonnes</x:v>
      </x:c>
      <x:c r="C9" s="61" t="str">
        <x:v>Display formatting only; no extra source-specific conversion</x:v>
      </x:c>
      <x:c r="D9" s="61" t="str">
        <x:v>Reconcile card and mode chart to accepted records</x:v>
      </x:c>
      <x:c r="E9" s="61" t="str">
        <x:v>Refresh timestamp, reporting period and filters</x:v>
      </x:c>
      <x:c r="F9" s="56"/>
    </x:row>
    <x:row r="10">
      <x:c r="A10" s="56"/>
      <x:c r="B10" s="56"/>
      <x:c r="C10" s="56"/>
      <x:c r="D10" s="56"/>
      <x:c r="E10" s="56"/>
      <x:c r="F10" s="56"/>
    </x:row>
    <x:row r="11" ht="15" hidden="0" customHeight="1">
      <x:c r="A11" s="63" t="s">
        <x:v>293</x:v>
      </x:c>
      <x:c r="B11" s="63"/>
      <x:c r="C11" s="63"/>
      <x:c r="D11" s="63"/>
      <x:c r="E11" s="63"/>
      <x:c r="F11" s="56"/>
    </x:row>
    <x:row r="12" ht="38" hidden="0" customHeight="1">
      <x:c r="A12" s="61" t="str">
        <x:v>Rail tonnes become kg in staging, once per row, so every model measure uses the same unit.</x:v>
      </x:c>
      <x:c r="B12" s="61"/>
      <x:c r="C12" s="61"/>
      <x:c r="D12" s="61"/>
      <x:c r="E12" s="61"/>
      <x:c r="F12" s="56"/>
    </x:row>
  </x:sheetData>
  <x:mergeCells>
    <x:mergeCell ref="A2:F2"/>
    <x:mergeCell ref="A11:E11"/>
    <x:mergeCell ref="A12:E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9" width="11" hidden="0" customWidth="1"/>
  </x:cols>
  <x:sheetData>
    <x:row r="1" ht="27.75" hidden="0" customHeight="1">
      <x:c r="A1" s="55" t="s">
        <x:v>294</x:v>
      </x:c>
      <x:c r="B1" s="56"/>
      <x:c r="C1" s="56"/>
      <x:c r="D1" s="56"/>
      <x:c r="E1" s="56"/>
      <x:c r="F1" s="56"/>
      <x:c r="G1" s="56"/>
      <x:c r="H1" s="56"/>
      <x:c r="I1" s="56"/>
    </x:row>
    <x:row r="2" ht="43.5" hidden="0" customHeight="1">
      <x:c r="A2" s="57" t="s">
        <x:v>295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</x:row>
    <x:row r="4" ht="31.5" hidden="0" customHeight="1">
      <x:c r="A4" s="58" t="s">
        <x:v>296</x:v>
      </x:c>
      <x:c r="B4" s="58" t="s">
        <x:v>69</x:v>
      </x:c>
      <x:c r="C4" s="58" t="s">
        <x:v>297</x:v>
      </x:c>
      <x:c r="D4" s="58" t="s">
        <x:v>298</x:v>
      </x:c>
      <x:c r="E4" s="58" t="s">
        <x:v>299</x:v>
      </x:c>
      <x:c r="F4" s="58" t="s">
        <x:v>300</x:v>
      </x:c>
      <x:c r="G4" s="58" t="s">
        <x:v>301</x:v>
      </x:c>
      <x:c r="H4" s="58" t="s">
        <x:v>302</x:v>
      </x:c>
      <x:c r="I4" s="58" t="s">
        <x:v>303</x:v>
      </x:c>
    </x:row>
    <x:row r="5" ht="15" hidden="0">
      <x:c r="A5" s="63" t="s">
        <x:v>304</x:v>
      </x:c>
      <x:c r="B5" s="74" t="str">
        <x:v>X</x:v>
      </x:c>
      <x:c r="C5" s="74" t="str">
        <x:v>X</x:v>
      </x:c>
      <x:c r="D5" s="74" t="str">
        <x:v>X</x:v>
      </x:c>
      <x:c r="E5" s="74" t="str">
        <x:v>X</x:v>
      </x:c>
      <x:c r="F5" s="74" t="str">
        <x:v>X</x:v>
      </x:c>
      <x:c r="G5" s="74" t="str">
        <x:v>X</x:v>
      </x:c>
      <x:c r="H5" s="74" t="str">
        <x:v>X</x:v>
      </x:c>
      <x:c r="I5" s="59" t="n">
        <x:f aca="0">COUNTIF(B5:H5,"X")</x:f>
        <x:v>7</x:v>
      </x:c>
    </x:row>
    <x:row r="6" ht="15" hidden="0">
      <x:c r="A6" s="63" t="s">
        <x:v>305</x:v>
      </x:c>
      <x:c r="B6" s="75" t="str">
        <x:v>X</x:v>
      </x:c>
      <x:c r="C6" s="75" t="str">
        <x:v>X</x:v>
      </x:c>
      <x:c r="D6" s="75" t="str">
        <x:v>X</x:v>
      </x:c>
      <x:c r="E6" s="75" t="str"/>
      <x:c r="F6" s="75" t="str"/>
      <x:c r="G6" s="75" t="str">
        <x:v>X</x:v>
      </x:c>
      <x:c r="H6" s="75" t="str">
        <x:v>X</x:v>
      </x:c>
      <x:c r="I6" s="59" t="n">
        <x:f aca="0">COUNTIF(B6:H6,"X")</x:f>
        <x:v>5</x:v>
      </x:c>
    </x:row>
    <x:row r="7" ht="15" hidden="0">
      <x:c r="A7" s="63" t="s">
        <x:v>306</x:v>
      </x:c>
      <x:c r="B7" s="75" t="str">
        <x:v>X</x:v>
      </x:c>
      <x:c r="C7" s="75" t="str"/>
      <x:c r="D7" s="75" t="str"/>
      <x:c r="E7" s="75" t="str">
        <x:v>X</x:v>
      </x:c>
      <x:c r="F7" s="75" t="str"/>
      <x:c r="G7" s="75" t="str">
        <x:v>X</x:v>
      </x:c>
      <x:c r="H7" s="75" t="str"/>
      <x:c r="I7" s="59" t="n">
        <x:f aca="0">COUNTIF(B7:H7,"X")</x:f>
        <x:v>3</x:v>
      </x:c>
    </x:row>
    <x:row r="8" ht="15" hidden="0">
      <x:c r="A8" s="63" t="s">
        <x:v>307</x:v>
      </x:c>
      <x:c r="B8" s="75" t="str">
        <x:v>X</x:v>
      </x:c>
      <x:c r="C8" s="75" t="str"/>
      <x:c r="D8" s="75" t="str">
        <x:v>X</x:v>
      </x:c>
      <x:c r="E8" s="75" t="str">
        <x:v>X</x:v>
      </x:c>
      <x:c r="F8" s="75" t="str">
        <x:v>X</x:v>
      </x:c>
      <x:c r="G8" s="75" t="str">
        <x:v>X</x:v>
      </x:c>
      <x:c r="H8" s="75" t="str"/>
      <x:c r="I8" s="59" t="n">
        <x:f aca="0">COUNTIF(B8:H8,"X")</x:f>
        <x:v>5</x:v>
      </x:c>
    </x:row>
    <x:row r="9" ht="15" hidden="0">
      <x:c r="A9" s="63" t="s">
        <x:v>308</x:v>
      </x:c>
      <x:c r="B9" s="75" t="str">
        <x:v>X</x:v>
      </x:c>
      <x:c r="C9" s="75" t="str"/>
      <x:c r="D9" s="75" t="str">
        <x:v>X</x:v>
      </x:c>
      <x:c r="E9" s="75" t="str">
        <x:v>X</x:v>
      </x:c>
      <x:c r="F9" s="75" t="str">
        <x:v>X</x:v>
      </x:c>
      <x:c r="G9" s="75" t="str">
        <x:v>X</x:v>
      </x:c>
      <x:c r="H9" s="75" t="str"/>
      <x:c r="I9" s="59" t="n">
        <x:f aca="0">COUNTIF(B9:H9,"X")</x:f>
        <x:v>5</x:v>
      </x:c>
    </x:row>
    <x:row r="10" ht="15" hidden="0">
      <x:c r="A10" s="63" t="s">
        <x:v>309</x:v>
      </x:c>
      <x:c r="B10" s="75" t="str">
        <x:v>X</x:v>
      </x:c>
      <x:c r="C10" s="75" t="str">
        <x:v>X</x:v>
      </x:c>
      <x:c r="D10" s="75" t="str">
        <x:v>X</x:v>
      </x:c>
      <x:c r="E10" s="75" t="str"/>
      <x:c r="F10" s="75" t="str"/>
      <x:c r="G10" s="75" t="str"/>
      <x:c r="H10" s="75" t="str">
        <x:v>X</x:v>
      </x:c>
      <x:c r="I10" s="59" t="n">
        <x:f aca="0">COUNTIF(B10:H10,"X")</x:f>
        <x:v>4</x:v>
      </x:c>
    </x:row>
    <x:row r="11" ht="15" hidden="0">
      <x:c r="A11" s="68" t="s">
        <x:v>310</x:v>
      </x:c>
      <x:c r="B11" s="76" t="n">
        <x:f aca="0">COUNTIF(B5:B10,"X")</x:f>
        <x:v>6</x:v>
      </x:c>
      <x:c r="C11" s="76" t="n">
        <x:f aca="0">COUNTIF(C5:C10,"X")</x:f>
        <x:v>3</x:v>
      </x:c>
      <x:c r="D11" s="76" t="n">
        <x:f aca="0">COUNTIF(D5:D10,"X")</x:f>
        <x:v>5</x:v>
      </x:c>
      <x:c r="E11" s="76" t="n">
        <x:f aca="0">COUNTIF(E5:E10,"X")</x:f>
        <x:v>4</x:v>
      </x:c>
      <x:c r="F11" s="76" t="n">
        <x:f aca="0">COUNTIF(F5:F10,"X")</x:f>
        <x:v>3</x:v>
      </x:c>
      <x:c r="G11" s="76" t="n">
        <x:f aca="0">COUNTIF(G5:G10,"X")</x:f>
        <x:v>5</x:v>
      </x:c>
      <x:c r="H11" s="76" t="n">
        <x:f aca="0">COUNTIF(H5:H10,"X")</x:f>
        <x:v>3</x:v>
      </x:c>
      <x:c r="I11" s="69"/>
    </x:row>
    <x:row r="12" ht="15" hidden="0">
      <x:c r="A12" s="77" t="s">
        <x:v>311</x:v>
      </x:c>
      <x:c r="B12" s="56"/>
      <x:c r="C12" s="56"/>
      <x:c r="D12" s="56"/>
      <x:c r="E12" s="56"/>
      <x:c r="F12" s="56"/>
      <x:c r="G12" s="56"/>
      <x:c r="H12" s="56"/>
      <x:c r="I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</x:row>
    <x:row r="14" ht="15" hidden="0" customHeight="1">
      <x:c r="A14" s="63" t="s">
        <x:v>312</x:v>
      </x:c>
      <x:c r="B14" s="63"/>
      <x:c r="C14" s="63"/>
      <x:c r="D14" s="63"/>
      <x:c r="E14" s="63"/>
      <x:c r="F14" s="63"/>
      <x:c r="G14" s="63"/>
      <x:c r="H14" s="63"/>
      <x:c r="I14" s="63"/>
    </x:row>
    <x:row r="15" ht="36" hidden="0" customHeight="1">
      <x:c r="A15" s="61" t="str">
        <x:v>Date. Shared calendar keys and period definitions keep time comparisons consistent.</x:v>
      </x:c>
      <x:c r="B15" s="61"/>
      <x:c r="C15" s="61"/>
      <x:c r="D15" s="61"/>
      <x:c r="E15" s="61"/>
      <x:c r="F15" s="61"/>
      <x:c r="G15" s="61"/>
      <x:c r="H15" s="61"/>
      <x:c r="I15" s="61"/>
    </x:row>
    <x:row r="16" ht="36" hidden="0" customHeight="1">
      <x:c r="A16" s="63" t="s">
        <x:v>313</x:v>
      </x:c>
      <x:c r="B16" s="63"/>
      <x:c r="C16" s="63"/>
      <x:c r="D16" s="63"/>
      <x:c r="E16" s="63"/>
      <x:c r="F16" s="63"/>
      <x:c r="G16" s="63"/>
      <x:c r="H16" s="63"/>
      <x:c r="I16" s="63"/>
    </x:row>
    <x:row r="17" ht="36" hidden="0" customHeight="1">
      <x:c r="A17" s="61" t="str">
        <x:v>Date, Route and Customer, plus shared shipment-grain and kg-unit definitions.</x:v>
      </x:c>
      <x:c r="B17" s="61"/>
      <x:c r="C17" s="61"/>
      <x:c r="D17" s="61"/>
      <x:c r="E17" s="61"/>
      <x:c r="F17" s="61"/>
      <x:c r="G17" s="61"/>
      <x:c r="H17" s="61"/>
      <x:c r="I17" s="61"/>
    </x:row>
    <x:row r="18" ht="36" hidden="0" customHeight="1">
      <x:c r="A18" s="63" t="s">
        <x:v>314</x:v>
      </x:c>
      <x:c r="B18" s="63"/>
      <x:c r="C18" s="63"/>
      <x:c r="D18" s="63"/>
      <x:c r="E18" s="63"/>
      <x:c r="F18" s="63"/>
      <x:c r="G18" s="63"/>
      <x:c r="H18" s="63"/>
      <x:c r="I18" s="63"/>
    </x:row>
    <x:row r="19" ht="36" hidden="0" customHeight="1">
      <x:c r="A19" s="61" t="str">
        <x:v>No. The enterprise bus plans shared dimensions before incremental process delivery.</x:v>
      </x:c>
      <x:c r="B19" s="61"/>
      <x:c r="C19" s="61"/>
      <x:c r="D19" s="61"/>
      <x:c r="E19" s="61"/>
      <x:c r="F19" s="61"/>
      <x:c r="G19" s="61"/>
      <x:c r="H19" s="61"/>
      <x:c r="I19" s="61"/>
    </x:row>
    <x:row r="20" ht="36" hidden="0" customHeight="1">
      <x:c r="A20" s="63" t="s">
        <x:v>315</x:v>
      </x:c>
      <x:c r="B20" s="63"/>
      <x:c r="C20" s="63"/>
      <x:c r="D20" s="63"/>
      <x:c r="E20" s="63"/>
      <x:c r="F20" s="63"/>
      <x:c r="G20" s="63"/>
      <x:c r="H20" s="63"/>
      <x:c r="I20" s="63"/>
    </x:row>
    <x:row r="21" ht="36" hidden="0" customHeight="1">
      <x:c r="A21" s="61" t="str">
        <x:v>Shipments first: the COO needs reliable mode volumes, movement counts and statuses.</x:v>
      </x:c>
      <x:c r="B21" s="61"/>
      <x:c r="C21" s="61"/>
      <x:c r="D21" s="61"/>
      <x:c r="E21" s="61"/>
      <x:c r="F21" s="61"/>
      <x:c r="G21" s="61"/>
      <x:c r="H21" s="61"/>
      <x:c r="I21" s="61"/>
    </x:row>
  </x:sheetData>
  <x:mergeCells>
    <x:mergeCell ref="A2:I2"/>
    <x:mergeCell ref="A14:I14"/>
    <x:mergeCell ref="A15:I15"/>
    <x:mergeCell ref="A16:I16"/>
    <x:mergeCell ref="A17:I17"/>
    <x:mergeCell ref="A18:I18"/>
    <x:mergeCell ref="A19:I19"/>
    <x:mergeCell ref="A20:I20"/>
    <x:mergeCell ref="A21:I2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" hidden="0" customWidth="1"/>
    <x:col min="2" max="2" width="70" hidden="0" customWidth="1"/>
    <x:col min="3" max="3" width="20" hidden="0" customWidth="1"/>
    <x:col min="4" max="4" width="46" hidden="0" customWidth="1"/>
  </x:cols>
  <x:sheetData>
    <x:row r="1" ht="27.75" hidden="0" customHeight="1">
      <x:c r="A1" s="55" t="s">
        <x:v>316</x:v>
      </x:c>
      <x:c r="B1" s="56"/>
      <x:c r="C1" s="56"/>
      <x:c r="D1" s="56"/>
    </x:row>
    <x:row r="2" ht="43.5" hidden="0" customHeight="1">
      <x:c r="A2" s="57" t="s">
        <x:v>317</x:v>
      </x:c>
      <x:c r="B2" s="57"/>
      <x:c r="C2" s="57"/>
      <x:c r="D2" s="57"/>
    </x:row>
    <x:row r="3">
      <x:c r="A3" s="56"/>
      <x:c r="B3" s="56"/>
      <x:c r="C3" s="56"/>
      <x:c r="D3" s="56"/>
    </x:row>
    <x:row r="4" ht="31.5" hidden="0" customHeight="1">
      <x:c r="A4" s="58" t="s">
        <x:v>11</x:v>
      </x:c>
      <x:c r="B4" s="58" t="s">
        <x:v>318</x:v>
      </x:c>
      <x:c r="C4" s="58" t="s">
        <x:v>319</x:v>
      </x:c>
      <x:c r="D4" s="58" t="s">
        <x:v>320</x:v>
      </x:c>
    </x:row>
    <x:row r="5" ht="48" hidden="0" customHeight="1">
      <x:c r="A5" s="59" t="n">
        <x:v>1</x:v>
      </x:c>
      <x:c r="B5" s="60" t="s">
        <x:v>321</x:v>
      </x:c>
      <x:c r="C5" s="75" t="str">
        <x:v>Inmon</x:v>
      </x:c>
      <x:c r="D5" s="61" t="str">
        <x:v>Enterprise integration precedes regulator reporting.</x:v>
      </x:c>
    </x:row>
    <x:row r="6" ht="48" hidden="0" customHeight="1">
      <x:c r="A6" s="59" t="n">
        <x:v>2</x:v>
      </x:c>
      <x:c r="B6" s="60" t="s">
        <x:v>322</x:v>
      </x:c>
      <x:c r="C6" s="75" t="str">
        <x:v>Kimball</x:v>
      </x:c>
      <x:c r="D6" s="61" t="str">
        <x:v>Process-first dimensional delivery gives early value.</x:v>
      </x:c>
    </x:row>
    <x:row r="7" ht="48" hidden="0" customHeight="1">
      <x:c r="A7" s="59" t="n">
        <x:v>3</x:v>
      </x:c>
      <x:c r="B7" s="60" t="s">
        <x:v>323</x:v>
      </x:c>
      <x:c r="C7" s="75" t="str">
        <x:v>Inmon</x:v>
      </x:c>
      <x:c r="D7" s="61" t="str">
        <x:v>A normalised enterprise core is the stated modelling style.</x:v>
      </x:c>
    </x:row>
    <x:row r="8" ht="48" hidden="0" customHeight="1">
      <x:c r="A8" s="59" t="n">
        <x:v>4</x:v>
      </x:c>
      <x:c r="B8" s="60" t="s">
        <x:v>324</x:v>
      </x:c>
      <x:c r="C8" s="75" t="str">
        <x:v>Kimball</x:v>
      </x:c>
      <x:c r="D8" s="61" t="str">
        <x:v>Conformed dimensions integrate the presentation stars.</x:v>
      </x:c>
    </x:row>
    <x:row r="9" ht="48" hidden="0" customHeight="1">
      <x:c r="A9" s="59" t="n">
        <x:v>5</x:v>
      </x:c>
      <x:c r="B9" s="60" t="s">
        <x:v>325</x:v>
      </x:c>
      <x:c r="C9" s="75" t="str">
        <x:v>Kimball</x:v>
      </x:c>
      <x:c r="D9" s="61" t="str">
        <x:v>Enterprise bus planning supports incremental process builds.</x:v>
      </x:c>
    </x:row>
    <x:row r="10" ht="48" hidden="0" customHeight="1">
      <x:c r="A10" s="59" t="n">
        <x:v>6</x:v>
      </x:c>
      <x:c r="B10" s="60" t="s">
        <x:v>326</x:v>
      </x:c>
      <x:c r="C10" s="75" t="str">
        <x:v>Inmon</x:v>
      </x:c>
      <x:c r="D10" s="61" t="str">
        <x:v>Dependent departmental marts derive from one EDW.</x:v>
      </x:c>
    </x:row>
    <x:row r="11" ht="48" hidden="0" customHeight="1">
      <x:c r="A11" s="59" t="n">
        <x:v>7</x:v>
      </x:c>
      <x:c r="B11" s="60" t="s">
        <x:v>327</x:v>
      </x:c>
      <x:c r="C11" s="75" t="str">
        <x:v>Inmon</x:v>
      </x:c>
      <x:c r="D11" s="61" t="str">
        <x:v>The broad core can delay the first business deliverable.</x:v>
      </x:c>
    </x:row>
    <x:row r="12" ht="48" hidden="0" customHeight="1">
      <x:c r="A12" s="59" t="n">
        <x:v>8</x:v>
      </x:c>
      <x:c r="B12" s="60" t="s">
        <x:v>328</x:v>
      </x:c>
      <x:c r="C12" s="75" t="str">
        <x:v>Kimball</x:v>
      </x:c>
      <x:c r="D12" s="61" t="str">
        <x:v>Ignoring conformance recreates disconnected marts.</x:v>
      </x:c>
    </x:row>
    <x:row r="13" ht="48" hidden="0" customHeight="1">
      <x:c r="A13" s="59" t="n">
        <x:v>9</x:v>
      </x:c>
      <x:c r="B13" s="60" t="s">
        <x:v>329</x:v>
      </x:c>
      <x:c r="C13" s="75" t="str">
        <x:v>Inmon</x:v>
      </x:c>
      <x:c r="D13" s="61" t="str">
        <x:v>CLDS is Inmon’s data-driven requirements-discovery emphasis.</x:v>
      </x:c>
    </x:row>
    <x:row r="14" ht="48" hidden="0" customHeight="1">
      <x:c r="A14" s="59" t="n">
        <x:v>10</x:v>
      </x:c>
      <x:c r="B14" s="60" t="s">
        <x:v>330</x:v>
      </x:c>
      <x:c r="C14" s="75" t="str">
        <x:v>Hybrid</x:v>
      </x:c>
      <x:c r="D14" s="61" t="str">
        <x:v>Integrated silver layers feed dimensional gold serving.</x:v>
      </x:c>
    </x:row>
  </x:sheetData>
  <x:mergeCells>
    <x:mergeCell ref="A2:D2"/>
  </x:mergeCells>
  <x:dataValidations count="1">
    <x:dataValidation type="list" errorStyle="stop" operator="between" allowBlank="1" showDropDown="0" showInputMessage="0" showErrorMessage="0" sqref="C5:C14">
      <x:formula1>"Inmon,Kimball,Hybrid"</x:formula1>
      <x:formula2>0</x:formula2>
    </x:dataValidation>
  </x:dataValidations>
  <x:pageMargins left="0.7" right="0.7" top="0.75" bottom="0.75" header="0.3" footer="0.3"/>
</x:worksheet>
</file>